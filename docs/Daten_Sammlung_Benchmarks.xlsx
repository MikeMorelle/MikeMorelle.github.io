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e2073\Downloads\"/>
    </mc:Choice>
  </mc:AlternateContent>
  <xr:revisionPtr revIDLastSave="0" documentId="13_ncr:1_{9EEE4189-0801-4761-935D-BAA3780B5626}" xr6:coauthVersionLast="47" xr6:coauthVersionMax="47" xr10:uidLastSave="{00000000-0000-0000-0000-000000000000}"/>
  <bookViews>
    <workbookView xWindow="-23088" yWindow="-48" windowWidth="23136" windowHeight="12336" xr2:uid="{00000000-000D-0000-FFFF-FFFF00000000}"/>
  </bookViews>
  <sheets>
    <sheet name="HPL" sheetId="2" r:id="rId1"/>
    <sheet name="MC_Amdahl" sheetId="3" r:id="rId2"/>
    <sheet name="Matrix_Amdahl" sheetId="4" r:id="rId3"/>
    <sheet name="MC_Gustafson" sheetId="5" r:id="rId4"/>
    <sheet name="Matrix_Gustafson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4" l="1"/>
  <c r="L9" i="4"/>
  <c r="H9" i="4"/>
  <c r="J9" i="4" s="1"/>
  <c r="K9" i="4" s="1"/>
  <c r="H10" i="4"/>
  <c r="J10" i="4" s="1"/>
  <c r="L10" i="4" s="1"/>
  <c r="I10" i="4"/>
  <c r="H11" i="4"/>
  <c r="J11" i="4" s="1"/>
  <c r="L11" i="4" s="1"/>
  <c r="I11" i="4"/>
  <c r="I12" i="4"/>
  <c r="H12" i="4"/>
  <c r="J12" i="4" s="1"/>
  <c r="L12" i="4" s="1"/>
  <c r="H8" i="4"/>
  <c r="H11" i="3"/>
  <c r="K5" i="6"/>
  <c r="K6" i="6"/>
  <c r="K7" i="6"/>
  <c r="K8" i="6"/>
  <c r="L16" i="2"/>
  <c r="L6" i="2"/>
  <c r="L7" i="2"/>
  <c r="L8" i="2"/>
  <c r="L9" i="2"/>
  <c r="L10" i="2"/>
  <c r="L11" i="2"/>
  <c r="L12" i="2"/>
  <c r="L13" i="2"/>
  <c r="L14" i="2"/>
  <c r="L15" i="2"/>
  <c r="K10" i="2"/>
  <c r="K6" i="2"/>
  <c r="K7" i="2"/>
  <c r="K8" i="2"/>
  <c r="K9" i="2"/>
  <c r="K11" i="2"/>
  <c r="K12" i="2"/>
  <c r="K13" i="2"/>
  <c r="K14" i="2"/>
  <c r="K15" i="2"/>
  <c r="K16" i="2"/>
  <c r="K5" i="2"/>
  <c r="I8" i="5"/>
  <c r="I5" i="5"/>
  <c r="I6" i="5"/>
  <c r="I7" i="5"/>
  <c r="I5" i="4"/>
  <c r="I6" i="4"/>
  <c r="I7" i="4"/>
  <c r="I8" i="4"/>
  <c r="I5" i="6"/>
  <c r="I6" i="6"/>
  <c r="I7" i="6"/>
  <c r="I8" i="6"/>
  <c r="H8" i="6"/>
  <c r="H7" i="6"/>
  <c r="H6" i="6"/>
  <c r="H5" i="6"/>
  <c r="J8" i="6" s="1"/>
  <c r="K8" i="5"/>
  <c r="H8" i="5"/>
  <c r="K7" i="5"/>
  <c r="H7" i="5"/>
  <c r="K6" i="5"/>
  <c r="H6" i="5"/>
  <c r="K5" i="5"/>
  <c r="H5" i="5"/>
  <c r="H7" i="4"/>
  <c r="J7" i="4" s="1"/>
  <c r="H6" i="4"/>
  <c r="J6" i="4" s="1"/>
  <c r="L5" i="4"/>
  <c r="H5" i="4"/>
  <c r="J8" i="4" s="1"/>
  <c r="S16" i="3"/>
  <c r="I16" i="3"/>
  <c r="H16" i="3"/>
  <c r="S15" i="3"/>
  <c r="I15" i="3"/>
  <c r="H15" i="3"/>
  <c r="J15" i="3" s="1"/>
  <c r="S14" i="3"/>
  <c r="I14" i="3"/>
  <c r="H14" i="3"/>
  <c r="S13" i="3"/>
  <c r="I13" i="3"/>
  <c r="H13" i="3"/>
  <c r="J13" i="3" s="1"/>
  <c r="K13" i="3" s="1"/>
  <c r="S12" i="3"/>
  <c r="I12" i="3"/>
  <c r="H12" i="3"/>
  <c r="S11" i="3"/>
  <c r="I11" i="3"/>
  <c r="S10" i="3"/>
  <c r="I10" i="3"/>
  <c r="H10" i="3"/>
  <c r="S9" i="3"/>
  <c r="I9" i="3"/>
  <c r="H9" i="3"/>
  <c r="S8" i="3"/>
  <c r="I8" i="3"/>
  <c r="H8" i="3"/>
  <c r="S7" i="3"/>
  <c r="I7" i="3"/>
  <c r="H7" i="3"/>
  <c r="S6" i="3"/>
  <c r="I6" i="3"/>
  <c r="H6" i="3"/>
  <c r="S5" i="3"/>
  <c r="I5" i="3"/>
  <c r="H5" i="3"/>
  <c r="R16" i="2"/>
  <c r="R15" i="2"/>
  <c r="R14" i="2"/>
  <c r="R13" i="2"/>
  <c r="S13" i="2" s="1"/>
  <c r="R12" i="2"/>
  <c r="R11" i="2"/>
  <c r="R10" i="2"/>
  <c r="R9" i="2"/>
  <c r="S10" i="2" s="1"/>
  <c r="R8" i="2"/>
  <c r="R7" i="2"/>
  <c r="R6" i="2"/>
  <c r="R5" i="2"/>
  <c r="S6" i="2" s="1"/>
  <c r="T6" i="2" s="1"/>
  <c r="L5" i="2"/>
  <c r="J7" i="6" l="1"/>
  <c r="J7" i="5"/>
  <c r="J5" i="4"/>
  <c r="J16" i="3"/>
  <c r="S9" i="2"/>
  <c r="S8" i="2"/>
  <c r="S7" i="2"/>
  <c r="T7" i="2" s="1"/>
  <c r="S16" i="2"/>
  <c r="T16" i="2" s="1"/>
  <c r="S12" i="2"/>
  <c r="T12" i="2" s="1"/>
  <c r="S15" i="2"/>
  <c r="T15" i="2" s="1"/>
  <c r="S11" i="2"/>
  <c r="T11" i="2" s="1"/>
  <c r="S14" i="2"/>
  <c r="T14" i="2" s="1"/>
  <c r="T9" i="2"/>
  <c r="K12" i="4"/>
  <c r="L7" i="4"/>
  <c r="L6" i="4"/>
  <c r="J9" i="3"/>
  <c r="K9" i="3" s="1"/>
  <c r="J12" i="3"/>
  <c r="J6" i="3"/>
  <c r="K6" i="3" s="1"/>
  <c r="J5" i="3"/>
  <c r="K5" i="3" s="1"/>
  <c r="L15" i="3"/>
  <c r="K15" i="3"/>
  <c r="J5" i="6"/>
  <c r="J8" i="3"/>
  <c r="J6" i="5"/>
  <c r="J8" i="5"/>
  <c r="T10" i="2"/>
  <c r="J10" i="3"/>
  <c r="J14" i="3"/>
  <c r="J5" i="5"/>
  <c r="L13" i="3"/>
  <c r="T8" i="2"/>
  <c r="J7" i="3"/>
  <c r="J11" i="3"/>
  <c r="S5" i="2"/>
  <c r="T5" i="2" s="1"/>
  <c r="T13" i="2"/>
  <c r="J6" i="6"/>
  <c r="K10" i="4" l="1"/>
  <c r="K11" i="4"/>
  <c r="K11" i="3"/>
  <c r="L11" i="3"/>
  <c r="L16" i="3"/>
  <c r="K16" i="3"/>
  <c r="K5" i="4"/>
  <c r="K6" i="4"/>
  <c r="K7" i="4"/>
  <c r="L12" i="3"/>
  <c r="K12" i="3"/>
  <c r="L9" i="3"/>
  <c r="L6" i="3"/>
  <c r="L5" i="3"/>
  <c r="K7" i="3"/>
  <c r="L7" i="3"/>
  <c r="L8" i="4"/>
  <c r="K8" i="4"/>
  <c r="L14" i="3"/>
  <c r="K14" i="3"/>
  <c r="L10" i="3"/>
  <c r="K10" i="3"/>
  <c r="L8" i="3"/>
  <c r="K8" i="3"/>
  <c r="L6" i="6" l="1"/>
  <c r="L5" i="6"/>
  <c r="L7" i="6"/>
  <c r="L8" i="6"/>
</calcChain>
</file>

<file path=xl/sharedStrings.xml><?xml version="1.0" encoding="utf-8"?>
<sst xmlns="http://schemas.openxmlformats.org/spreadsheetml/2006/main" count="123" uniqueCount="57">
  <si>
    <t>Speedup</t>
  </si>
  <si>
    <t>Effizienz</t>
  </si>
  <si>
    <t>Task 2 – HPL / LINPACK</t>
  </si>
  <si>
    <t>Matrixgröße N</t>
  </si>
  <si>
    <t>P</t>
  </si>
  <si>
    <t>Q</t>
  </si>
  <si>
    <t>Worker Node</t>
  </si>
  <si>
    <t>Worker</t>
  </si>
  <si>
    <t>GFLOPS Run 1</t>
  </si>
  <si>
    <t>GFLOPS Run 2</t>
  </si>
  <si>
    <t>GFLOPS Run 3</t>
  </si>
  <si>
    <t>GFLOPS Run 4</t>
  </si>
  <si>
    <t>GFLOPS Run 5</t>
  </si>
  <si>
    <t>Ø GFLOPS</t>
  </si>
  <si>
    <t>Stdabw. GFLOPS</t>
  </si>
  <si>
    <t>Zeit Run 1 [s]</t>
  </si>
  <si>
    <t>Zeit Run 2 [s]</t>
  </si>
  <si>
    <t>Zeit Run 3 [s]</t>
  </si>
  <si>
    <t>Zeit Run 4 [s]</t>
  </si>
  <si>
    <t>Zeit Run 5 [s]</t>
  </si>
  <si>
    <t>Ø Zeit [s]</t>
  </si>
  <si>
    <t>Rpi 1</t>
  </si>
  <si>
    <t>495,03</t>
  </si>
  <si>
    <t>Rpi 1, Rpi 2</t>
  </si>
  <si>
    <t>Rpi 1, Rpi 2, Rpi 3, Rpi 4</t>
  </si>
  <si>
    <t>Rpi 1, Rpi 2, Rpi 3, Rpi 4, Rpi 5, Rpi 6, Rpi 7, Rpi 8</t>
  </si>
  <si>
    <t>N/A</t>
  </si>
  <si>
    <t>Insufficient memory / HPL memory allocation failed</t>
  </si>
  <si>
    <t>N/A – Linux OOM killer terminated xhpl</t>
  </si>
  <si>
    <t>Task 3 – Matrix Multiplication: Amdahl / Strong Scaling</t>
  </si>
  <si>
    <t>Run 1 [s]</t>
  </si>
  <si>
    <t>Run 2 [s]</t>
  </si>
  <si>
    <t>Run 3 [s]</t>
  </si>
  <si>
    <t>Run 4 [s]</t>
  </si>
  <si>
    <t>Run 5 [s]</t>
  </si>
  <si>
    <t>Stdabw. [s]</t>
  </si>
  <si>
    <t>serieller Anteil f</t>
  </si>
  <si>
    <t>Notiz</t>
  </si>
  <si>
    <t>Checkwert</t>
  </si>
  <si>
    <t>Task 3 – Monte Carlo: Gustafson / Scaled Problem</t>
  </si>
  <si>
    <t>Gesamt-Samples</t>
  </si>
  <si>
    <t>Weak-Effizienz</t>
  </si>
  <si>
    <t>Workload-Faktor</t>
  </si>
  <si>
    <t>Gustafson S_G</t>
  </si>
  <si>
    <t xml:space="preserve">Run1 </t>
  </si>
  <si>
    <t>Run 2</t>
  </si>
  <si>
    <t>Run 3</t>
  </si>
  <si>
    <t>Run 4</t>
  </si>
  <si>
    <t>Run 5</t>
  </si>
  <si>
    <t>Task 3 – Matrix Multiplication: Gustafson / Scaled Problem</t>
  </si>
  <si>
    <t>Task 3 – Monte Carlo: Amdahl / Strong Scaling – mehrere Problemgrößen</t>
  </si>
  <si>
    <t>π Run 1</t>
  </si>
  <si>
    <t>π Run 2</t>
  </si>
  <si>
    <t>π Run 3</t>
  </si>
  <si>
    <t>π Run 4</t>
  </si>
  <si>
    <t>π Run 5</t>
  </si>
  <si>
    <t>Ø |π−πref|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</si>
</sst>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%"/>
    <numFmt numFmtId="166" formatCode="0.00000"/>
    <numFmt numFmtId="167" formatCode="0.000000"/>
    <numFmt numFmtId="168" formatCode="0.0000000"/>
  </numFmts>
  <fonts count="8">
    <font>
      <sz val="11"/>
      <name val="Carlito"/>
    </font>
    <font>
      <b/>
      <sz val="11"/>
      <color rgb="FFFFFFFF"/>
      <name val="Carlito"/>
    </font>
    <font>
      <b/>
      <sz val="16"/>
      <color rgb="FFFFFFFF"/>
      <name val="Aptos"/>
    </font>
    <font>
      <sz val="11"/>
      <name val="Aptos"/>
    </font>
    <font>
      <b/>
      <sz val="11"/>
      <color rgb="FFFFFFFF"/>
      <name val="Aptos"/>
    </font>
    <font>
      <sz val="11"/>
      <name val="Carlito"/>
    </font>
    <font>
      <b/>
      <sz val="14"/>
      <color rgb="FFFFFFFF"/>
      <name val="Aptos"/>
    </font>
    <font>
      <sz val="11"/>
      <color rgb="FF1F1F1F"/>
      <name val="Aptos"/>
      <family val="2"/>
    </font>
  </fonts>
  <fills count="12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34">
    <xf numFmtId="0" fontId="0" fillId="0" borderId="0" xfId="0"/>
    <xf numFmtId="0" fontId="1" fillId="3" borderId="0" xfId="1" applyFont="1" applyFill="1" applyAlignment="1">
      <alignment horizontal="center" vertical="center" wrapText="1"/>
    </xf>
    <xf numFmtId="0" fontId="0" fillId="4" borderId="0" xfId="1" applyFont="1" applyFill="1" applyAlignment="1">
      <alignment horizontal="center"/>
    </xf>
    <xf numFmtId="165" fontId="0" fillId="5" borderId="0" xfId="1" applyNumberFormat="1" applyFont="1" applyFill="1" applyAlignment="1">
      <alignment horizontal="center"/>
    </xf>
    <xf numFmtId="2" fontId="0" fillId="5" borderId="0" xfId="1" applyNumberFormat="1" applyFont="1" applyFill="1" applyAlignment="1">
      <alignment horizontal="center"/>
    </xf>
    <xf numFmtId="0" fontId="3" fillId="0" borderId="0" xfId="1" applyFont="1"/>
    <xf numFmtId="0" fontId="4" fillId="3" borderId="0" xfId="1" applyFont="1" applyFill="1" applyAlignment="1">
      <alignment horizontal="center" vertical="center" wrapText="1"/>
    </xf>
    <xf numFmtId="0" fontId="3" fillId="4" borderId="0" xfId="1" applyFont="1" applyFill="1" applyAlignment="1">
      <alignment horizontal="center"/>
    </xf>
    <xf numFmtId="164" fontId="3" fillId="5" borderId="0" xfId="1" applyNumberFormat="1" applyFont="1" applyFill="1" applyAlignment="1">
      <alignment horizontal="center"/>
    </xf>
    <xf numFmtId="165" fontId="3" fillId="5" borderId="0" xfId="1" applyNumberFormat="1" applyFont="1" applyFill="1" applyAlignment="1">
      <alignment horizontal="center"/>
    </xf>
    <xf numFmtId="2" fontId="3" fillId="5" borderId="0" xfId="1" applyNumberFormat="1" applyFont="1" applyFill="1" applyAlignment="1">
      <alignment horizontal="center"/>
    </xf>
    <xf numFmtId="166" fontId="0" fillId="4" borderId="0" xfId="1" applyNumberFormat="1" applyFont="1" applyFill="1" applyAlignment="1">
      <alignment horizontal="center"/>
    </xf>
    <xf numFmtId="166" fontId="0" fillId="5" borderId="0" xfId="1" applyNumberFormat="1" applyFont="1" applyFill="1" applyAlignment="1">
      <alignment horizontal="center"/>
    </xf>
    <xf numFmtId="2" fontId="0" fillId="4" borderId="0" xfId="1" applyNumberFormat="1" applyFont="1" applyFill="1" applyAlignment="1">
      <alignment horizontal="center"/>
    </xf>
    <xf numFmtId="11" fontId="0" fillId="4" borderId="0" xfId="1" applyNumberFormat="1" applyFont="1" applyFill="1" applyAlignment="1">
      <alignment horizontal="center"/>
    </xf>
    <xf numFmtId="167" fontId="0" fillId="4" borderId="0" xfId="1" applyNumberFormat="1" applyFont="1" applyFill="1" applyAlignment="1">
      <alignment horizontal="center"/>
    </xf>
    <xf numFmtId="0" fontId="4" fillId="7" borderId="0" xfId="0" applyFont="1" applyFill="1" applyAlignment="1">
      <alignment horizontal="center" vertical="center" wrapText="1"/>
    </xf>
    <xf numFmtId="0" fontId="4" fillId="7" borderId="0" xfId="0" applyFont="1" applyFill="1" applyAlignment="1">
      <alignment wrapText="1"/>
    </xf>
    <xf numFmtId="0" fontId="3" fillId="8" borderId="0" xfId="0" applyFont="1" applyFill="1" applyAlignment="1">
      <alignment horizontal="center"/>
    </xf>
    <xf numFmtId="0" fontId="3" fillId="8" borderId="0" xfId="0" applyFont="1" applyFill="1"/>
    <xf numFmtId="3" fontId="3" fillId="8" borderId="0" xfId="0" applyNumberFormat="1" applyFont="1" applyFill="1" applyAlignment="1">
      <alignment horizontal="center"/>
    </xf>
    <xf numFmtId="164" fontId="3" fillId="9" borderId="0" xfId="0" applyNumberFormat="1" applyFont="1" applyFill="1"/>
    <xf numFmtId="165" fontId="3" fillId="9" borderId="0" xfId="0" applyNumberFormat="1" applyFont="1" applyFill="1"/>
    <xf numFmtId="1" fontId="3" fillId="4" borderId="0" xfId="0" applyNumberFormat="1" applyFont="1" applyFill="1" applyAlignment="1">
      <alignment horizontal="center"/>
    </xf>
    <xf numFmtId="168" fontId="3" fillId="9" borderId="0" xfId="0" applyNumberFormat="1" applyFont="1" applyFill="1" applyAlignment="1">
      <alignment horizontal="right"/>
    </xf>
    <xf numFmtId="167" fontId="3" fillId="9" borderId="0" xfId="0" applyNumberFormat="1" applyFont="1" applyFill="1"/>
    <xf numFmtId="3" fontId="7" fillId="8" borderId="0" xfId="0" applyNumberFormat="1" applyFont="1" applyFill="1" applyAlignment="1">
      <alignment horizontal="center" vertical="center" wrapText="1"/>
    </xf>
    <xf numFmtId="1" fontId="7" fillId="4" borderId="0" xfId="0" applyNumberFormat="1" applyFont="1" applyFill="1" applyAlignment="1">
      <alignment horizontal="center" vertical="center" wrapText="1"/>
    </xf>
    <xf numFmtId="0" fontId="3" fillId="10" borderId="0" xfId="1" applyFont="1" applyFill="1" applyAlignment="1">
      <alignment horizontal="center"/>
    </xf>
    <xf numFmtId="164" fontId="3" fillId="11" borderId="0" xfId="1" applyNumberFormat="1" applyFont="1" applyFill="1" applyAlignment="1">
      <alignment horizontal="center"/>
    </xf>
    <xf numFmtId="165" fontId="3" fillId="11" borderId="0" xfId="1" applyNumberFormat="1" applyFont="1" applyFill="1" applyAlignment="1">
      <alignment horizontal="center"/>
    </xf>
    <xf numFmtId="0" fontId="2" fillId="2" borderId="0" xfId="1" applyFont="1" applyFill="1" applyAlignment="1">
      <alignment vertical="center"/>
    </xf>
    <xf numFmtId="0" fontId="6" fillId="6" borderId="0" xfId="0" applyFont="1" applyFill="1" applyAlignment="1">
      <alignment vertical="center"/>
    </xf>
    <xf numFmtId="0" fontId="6" fillId="6" borderId="0" xfId="0" applyFont="1" applyFill="1"/>
  </cellXfs>
  <cellStyles count="2">
    <cellStyle name="Normal" xfId="1" xr:uid="{00000000-0005-0000-0000-000000000000}"/>
    <cellStyle name="Standard" xfId="0" builtinId="0"/>
  </cellStyles>
  <dxfs count="8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  <fill>
        <patternFill patternType="solid">
          <fgColor indexed="64"/>
          <bgColor rgb="FFFFF2CC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  <fill>
        <patternFill patternType="solid">
          <fgColor indexed="64"/>
          <bgColor rgb="FFFFF2CC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  <numFmt numFmtId="2" formatCode="0.00"/>
      <fill>
        <patternFill patternType="solid">
          <fgColor indexed="64"/>
          <bgColor rgb="FFE2F0D9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  <numFmt numFmtId="2" formatCode="0.00"/>
      <fill>
        <patternFill patternType="solid">
          <fgColor indexed="64"/>
          <bgColor rgb="FFE2F0D9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  <numFmt numFmtId="165" formatCode="0.0%"/>
      <fill>
        <patternFill patternType="solid">
          <fgColor indexed="64"/>
          <bgColor rgb="FFE2F0D9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  <numFmt numFmtId="164" formatCode="0.000"/>
      <fill>
        <patternFill patternType="solid">
          <fgColor indexed="64"/>
          <bgColor rgb="FFE2F0D9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  <numFmt numFmtId="164" formatCode="0.000"/>
      <fill>
        <patternFill patternType="solid">
          <fgColor indexed="64"/>
          <bgColor rgb="FFE2F0D9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  <fill>
        <patternFill patternType="solid">
          <fgColor indexed="64"/>
          <bgColor rgb="FFFFF2CC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  <fill>
        <patternFill patternType="solid">
          <fgColor indexed="64"/>
          <bgColor rgb="FFFFF2CC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  <fill>
        <patternFill patternType="solid">
          <fgColor indexed="64"/>
          <bgColor rgb="FFFFF2CC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  <fill>
        <patternFill patternType="solid">
          <fgColor indexed="64"/>
          <bgColor rgb="FFFFF2CC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  <fill>
        <patternFill patternType="solid">
          <fgColor indexed="64"/>
          <bgColor rgb="FFFFF2CC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  <fill>
        <patternFill patternType="solid">
          <fgColor indexed="64"/>
          <bgColor rgb="FFFFF2CC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  <fill>
        <patternFill patternType="solid">
          <fgColor indexed="64"/>
          <bgColor rgb="FFFFF2CC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  <fill>
        <patternFill patternType="solid">
          <fgColor indexed="64"/>
          <bgColor rgb="FFE2F0D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"/>
        <scheme val="none"/>
      </font>
      <fill>
        <patternFill patternType="solid">
          <fgColor indexed="64"/>
          <bgColor rgb="FF4472C4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  <numFmt numFmtId="2" formatCode="0.00"/>
      <fill>
        <patternFill patternType="solid">
          <fgColor indexed="64"/>
          <bgColor rgb="FFE2F0D9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  <numFmt numFmtId="165" formatCode="0.0%"/>
      <fill>
        <patternFill patternType="solid">
          <fgColor indexed="64"/>
          <bgColor rgb="FFE2F0D9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  <numFmt numFmtId="164" formatCode="0.000"/>
      <fill>
        <patternFill patternType="solid">
          <fgColor indexed="64"/>
          <bgColor rgb="FFE2F0D9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  <numFmt numFmtId="164" formatCode="0.000"/>
      <fill>
        <patternFill patternType="solid">
          <fgColor indexed="64"/>
          <bgColor rgb="FFE2F0D9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  <fill>
        <patternFill patternType="solid">
          <fgColor indexed="64"/>
          <bgColor rgb="FFFFF2CC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  <fill>
        <patternFill patternType="solid">
          <fgColor indexed="64"/>
          <bgColor rgb="FFFFF2CC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  <fill>
        <patternFill patternType="solid">
          <fgColor indexed="64"/>
          <bgColor rgb="FFFFF2CC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  <fill>
        <patternFill patternType="solid">
          <fgColor indexed="64"/>
          <bgColor rgb="FFFFF2CC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  <fill>
        <patternFill patternType="solid">
          <fgColor indexed="64"/>
          <bgColor rgb="FFFFF2CC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  <fill>
        <patternFill patternType="solid">
          <fgColor indexed="64"/>
          <bgColor rgb="FFFFF2CC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  <fill>
        <patternFill patternType="solid">
          <fgColor indexed="64"/>
          <bgColor rgb="FFFFF2CC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  <numFmt numFmtId="168" formatCode="0.0000000"/>
      <fill>
        <patternFill patternType="solid">
          <fgColor indexed="64"/>
          <bgColor rgb="FFE2F0D9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  <fill>
        <patternFill patternType="solid">
          <fgColor indexed="64"/>
          <bgColor rgb="FFFFF2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  <numFmt numFmtId="165" formatCode="0.0%"/>
      <fill>
        <patternFill patternType="solid">
          <fgColor indexed="64"/>
          <bgColor rgb="FFE2F0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  <numFmt numFmtId="165" formatCode="0.0%"/>
      <fill>
        <patternFill patternType="solid">
          <fgColor indexed="64"/>
          <bgColor rgb="FFE2F0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  <numFmt numFmtId="164" formatCode="0.000"/>
      <fill>
        <patternFill patternType="solid">
          <fgColor indexed="64"/>
          <bgColor rgb="FFE2F0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  <numFmt numFmtId="167" formatCode="0.000000"/>
      <fill>
        <patternFill patternType="solid">
          <fgColor indexed="64"/>
          <bgColor rgb="FFE2F0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  <numFmt numFmtId="167" formatCode="0.000000"/>
      <fill>
        <patternFill patternType="solid">
          <fgColor indexed="64"/>
          <bgColor rgb="FFE2F0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  <numFmt numFmtId="1" formatCode="0"/>
      <fill>
        <patternFill patternType="solid">
          <fgColor indexed="64"/>
          <bgColor rgb="FFFFF2CC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  <numFmt numFmtId="3" formatCode="#,##0"/>
      <fill>
        <patternFill patternType="solid">
          <fgColor indexed="64"/>
          <bgColor rgb="FFFFF2CC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"/>
        <scheme val="none"/>
      </font>
      <fill>
        <patternFill patternType="solid">
          <fgColor indexed="64"/>
          <bgColor rgb="FF4472C4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165" formatCode="0.0%"/>
      <fill>
        <patternFill patternType="solid">
          <fgColor indexed="64"/>
          <bgColor rgb="FFE2F0D9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2" formatCode="0.00"/>
      <fill>
        <patternFill patternType="solid">
          <fgColor indexed="64"/>
          <bgColor rgb="FFE2F0D9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2" formatCode="0.00"/>
      <fill>
        <patternFill patternType="solid">
          <fgColor indexed="64"/>
          <bgColor rgb="FFE2F0D9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fill>
        <patternFill patternType="solid">
          <fgColor indexed="64"/>
          <bgColor rgb="FFFFF2CC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fill>
        <patternFill patternType="solid">
          <fgColor indexed="64"/>
          <bgColor rgb="FFFFF2CC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fill>
        <patternFill patternType="solid">
          <fgColor indexed="64"/>
          <bgColor rgb="FFFFF2CC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fill>
        <patternFill patternType="solid">
          <fgColor indexed="64"/>
          <bgColor rgb="FFFFF2CC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fill>
        <patternFill patternType="solid">
          <fgColor indexed="64"/>
          <bgColor rgb="FFFFF2CC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2" formatCode="0.00"/>
      <fill>
        <patternFill patternType="solid">
          <fgColor indexed="64"/>
          <bgColor rgb="FFE2F0D9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2" formatCode="0.00"/>
      <fill>
        <patternFill patternType="solid">
          <fgColor indexed="64"/>
          <bgColor rgb="FFE2F0D9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166" formatCode="0.00000"/>
      <fill>
        <patternFill patternType="solid">
          <fgColor indexed="64"/>
          <bgColor rgb="FFFFF2CC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166" formatCode="0.00000"/>
      <fill>
        <patternFill patternType="solid">
          <fgColor indexed="64"/>
          <bgColor rgb="FFFFF2CC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166" formatCode="0.00000"/>
      <fill>
        <patternFill patternType="solid">
          <fgColor indexed="64"/>
          <bgColor rgb="FFFFF2CC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166" formatCode="0.00000"/>
      <fill>
        <patternFill patternType="solid">
          <fgColor indexed="64"/>
          <bgColor rgb="FFFFF2CC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166" formatCode="0.00000"/>
      <fill>
        <patternFill patternType="solid">
          <fgColor indexed="64"/>
          <bgColor rgb="FFFFF2CC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fill>
        <patternFill patternType="solid">
          <fgColor indexed="64"/>
          <bgColor rgb="FFFFF2CC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fill>
        <patternFill patternType="solid">
          <fgColor indexed="64"/>
          <bgColor rgb="FFFFF2CC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fill>
        <patternFill patternType="solid">
          <fgColor indexed="64"/>
          <bgColor rgb="FFFFF2CC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fill>
        <patternFill patternType="solid">
          <fgColor indexed="64"/>
          <bgColor rgb="FFFFF2CC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fill>
        <patternFill patternType="solid">
          <fgColor indexed="64"/>
          <bgColor rgb="FFFFF2CC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fill>
        <patternFill patternType="solid">
          <fgColor indexed="64"/>
          <bgColor rgb="FFE2F0D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4472C4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  <numFmt numFmtId="165" formatCode="0.0%"/>
      <fill>
        <patternFill patternType="solid">
          <fgColor indexed="64"/>
          <bgColor rgb="FFE2F0D9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  <numFmt numFmtId="165" formatCode="0.0%"/>
      <fill>
        <patternFill patternType="solid">
          <fgColor indexed="64"/>
          <bgColor rgb="FFE2F0D9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  <numFmt numFmtId="164" formatCode="0.000"/>
      <fill>
        <patternFill patternType="solid">
          <fgColor indexed="64"/>
          <bgColor rgb="FFE2F0D9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  <numFmt numFmtId="164" formatCode="0.000"/>
      <fill>
        <patternFill patternType="solid">
          <fgColor indexed="64"/>
          <bgColor rgb="FFE2F0D9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  <numFmt numFmtId="164" formatCode="0.000"/>
      <fill>
        <patternFill patternType="solid">
          <fgColor indexed="64"/>
          <bgColor rgb="FFE2F0D9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  <fill>
        <patternFill patternType="solid">
          <fgColor indexed="64"/>
          <bgColor rgb="FFFFF2CC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  <fill>
        <patternFill patternType="solid">
          <fgColor indexed="64"/>
          <bgColor rgb="FFFFF2CC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  <fill>
        <patternFill patternType="solid">
          <fgColor indexed="64"/>
          <bgColor rgb="FFFFF2CC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  <fill>
        <patternFill patternType="solid">
          <fgColor indexed="64"/>
          <bgColor rgb="FFFFF2CC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  <fill>
        <patternFill patternType="solid">
          <fgColor indexed="64"/>
          <bgColor rgb="FFFFF2CC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  <fill>
        <patternFill patternType="solid">
          <fgColor indexed="64"/>
          <bgColor rgb="FFFFF2CC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  <fill>
        <patternFill patternType="solid">
          <fgColor indexed="64"/>
          <bgColor rgb="FFFFF2CC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  <fill>
        <patternFill patternType="solid">
          <fgColor indexed="64"/>
          <bgColor rgb="FFE2F0D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"/>
        <scheme val="none"/>
      </font>
      <fill>
        <patternFill patternType="solid">
          <fgColor indexed="64"/>
          <bgColor rgb="FF4472C4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6744519-DC57-46E9-9ACE-33F5F24D5639}" name="HPLMessungen" displayName="HPLMessungen" ref="A4:T16" totalsRowShown="0" headerRowDxfId="65" dataDxfId="64" headerRowCellStyle="Normal" dataCellStyle="Normal">
  <autoFilter ref="A4:T16" xr:uid="{D6744519-DC57-46E9-9ACE-33F5F24D5639}"/>
  <tableColumns count="20">
    <tableColumn id="1" xr3:uid="{1E54441A-D22D-4DAE-9E83-167F64A36537}" name="Matrixgröße N" dataDxfId="63" dataCellStyle="Normal"/>
    <tableColumn id="2" xr3:uid="{9A798BFC-97DD-4FA6-B4D3-1D4DE892CA72}" name="P" dataDxfId="62" dataCellStyle="Normal"/>
    <tableColumn id="3" xr3:uid="{08E4CD69-6771-4514-A949-8A1EF897F7FB}" name="Q" dataDxfId="61" dataCellStyle="Normal"/>
    <tableColumn id="4" xr3:uid="{A24C298E-09B5-4913-BF73-E8D9302A9EEE}" name="Worker Node" dataDxfId="60" dataCellStyle="Normal"/>
    <tableColumn id="5" xr3:uid="{972B06C3-2C89-471C-A260-EA3AE2E55BD7}" name="Worker" dataDxfId="59" dataCellStyle="Normal"/>
    <tableColumn id="6" xr3:uid="{76C87266-AC3C-42CB-B2D2-37F7D5289915}" name="GFLOPS Run 1" dataDxfId="58" dataCellStyle="Normal"/>
    <tableColumn id="7" xr3:uid="{BE4371D0-772C-474B-B56E-C1F6F5BB1E19}" name="GFLOPS Run 2" dataDxfId="57" dataCellStyle="Normal"/>
    <tableColumn id="8" xr3:uid="{91C1538A-11DB-4D89-98EB-721BB4A6C4F5}" name="GFLOPS Run 3" dataDxfId="56" dataCellStyle="Normal"/>
    <tableColumn id="9" xr3:uid="{706FB27B-0D1F-41AF-9081-F1F1C05E0EAB}" name="GFLOPS Run 4" dataDxfId="55" dataCellStyle="Normal"/>
    <tableColumn id="10" xr3:uid="{6AA6A55C-333B-4B53-B230-2107692D25A4}" name="GFLOPS Run 5" dataDxfId="54" dataCellStyle="Normal"/>
    <tableColumn id="11" xr3:uid="{785B9DA4-E8D8-4FD5-B1E1-707D135EDD62}" name="Ø GFLOPS" dataDxfId="53" dataCellStyle="Normal">
      <calculatedColumnFormula>IF(COUNT(F5:J5)=0,"",AVERAGE(F5:J5))</calculatedColumnFormula>
    </tableColumn>
    <tableColumn id="12" xr3:uid="{0DC6061B-A7D9-4018-ACD2-08E8A228FB6B}" name="Stdabw. GFLOPS" dataDxfId="52" dataCellStyle="Normal">
      <calculatedColumnFormula>IF(COUNT(F5:J5)&lt;2,"",_xlfn.STDEV.S(F5:J5))</calculatedColumnFormula>
    </tableColumn>
    <tableColumn id="13" xr3:uid="{342B4EB3-70D1-45B7-A90D-20895ABFA5B7}" name="Zeit Run 1 [s]" dataDxfId="51" dataCellStyle="Normal"/>
    <tableColumn id="14" xr3:uid="{14E84246-BB88-4AA1-A6EE-53E98431457A}" name="Zeit Run 2 [s]" dataDxfId="50" dataCellStyle="Normal"/>
    <tableColumn id="15" xr3:uid="{92DCCF41-0FDD-465D-8017-55DD395883AF}" name="Zeit Run 3 [s]" dataDxfId="49" dataCellStyle="Normal"/>
    <tableColumn id="16" xr3:uid="{A641E063-ABF8-41E6-BAE2-7CD818C5D6C7}" name="Zeit Run 4 [s]" dataDxfId="48" dataCellStyle="Normal"/>
    <tableColumn id="17" xr3:uid="{1FBEA88A-CBEB-46CA-8ADA-B3962B4C4D9C}" name="Zeit Run 5 [s]" dataDxfId="47" dataCellStyle="Normal"/>
    <tableColumn id="18" xr3:uid="{13EFABAC-D39C-4B82-83CA-D3E4048DB2CF}" name="Ø Zeit [s]" dataDxfId="46" dataCellStyle="Normal"/>
    <tableColumn id="19" xr3:uid="{090EBF95-F7C7-4F47-9741-457DD43940D0}" name="Speedup" dataDxfId="45" dataCellStyle="Normal"/>
    <tableColumn id="20" xr3:uid="{07D69132-C64D-420B-BE03-972A2F45EF30}" name="Effizienz" dataDxfId="44" dataCellStyle="Normal">
      <calculatedColumnFormula>IF(OR(S5="",E5=0),"",S5/E5)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4E33F3-2810-4617-A681-C7B7AF9F42B5}" name="MonteCarloAmdahl" displayName="MonteCarloAmdahl" ref="A4:S16" totalsRowShown="0" headerRowDxfId="43">
  <autoFilter ref="A4:S16" xr:uid="{5D4E33F3-2810-4617-A681-C7B7AF9F42B5}"/>
  <tableColumns count="19">
    <tableColumn id="1" xr3:uid="{3D2E985D-BA40-46B5-A9F6-2EBC258A055C}" name="Gesamt-Samples" dataDxfId="42"/>
    <tableColumn id="2" xr3:uid="{D2DB66F9-24D8-4F4E-B8D3-967E4D289971}" name="Worker" dataDxfId="41"/>
    <tableColumn id="3" xr3:uid="{9191AC81-C2EF-4345-AE51-762C76ED33BA}" name="Run 1 [s]"/>
    <tableColumn id="4" xr3:uid="{737A27C3-3592-4E95-8DDA-391AF5FA16ED}" name="Run 2 [s]"/>
    <tableColumn id="5" xr3:uid="{5C993051-EC3F-415E-A741-26A86678BF78}" name="Run 3 [s]"/>
    <tableColumn id="6" xr3:uid="{006040AA-2E56-403C-8BC0-9E4155912DE9}" name="Run 4 [s]"/>
    <tableColumn id="7" xr3:uid="{885060FC-669D-49FA-BA52-3425B5502B57}" name="Run 5 [s]"/>
    <tableColumn id="8" xr3:uid="{07128336-9FB1-4914-972C-881F4CDF1CCB}" name="Ø Zeit [s]" dataDxfId="40">
      <calculatedColumnFormula>IF(COUNT(C5:G5)=0,"",AVERAGE(C5:G5))</calculatedColumnFormula>
    </tableColumn>
    <tableColumn id="9" xr3:uid="{7F7BCAB5-A61B-4663-99AC-BC6C237CCF6A}" name="Stdabw. [s]" dataDxfId="39">
      <calculatedColumnFormula>IF(COUNT(C5:G5)&lt;2,"",STDEV(C5:G5))</calculatedColumnFormula>
    </tableColumn>
    <tableColumn id="10" xr3:uid="{DC4F564B-2515-4EC7-890D-26B9B4448064}" name="Speedup" dataDxfId="38">
      <calculatedColumnFormula>IF(OR(H5="",SUMIFS($H$5:$H$16,$A$5:$A$16,A5,$B$5:$B$16,1)=0),"",SUMIFS($H$5:$H$16,$A$5:$A$16,A5,$B$5:$B$16,1)/H5)</calculatedColumnFormula>
    </tableColumn>
    <tableColumn id="11" xr3:uid="{FB5A64AA-BE9F-4380-8564-7E0D8C5CA37B}" name="Effizienz" dataDxfId="37">
      <calculatedColumnFormula>IF(OR(J5="",B5=0),"",J5/B5)</calculatedColumnFormula>
    </tableColumn>
    <tableColumn id="12" xr3:uid="{8F8228CC-1E62-447F-82D5-40135AEAA122}" name="serieller Anteil f" dataDxfId="36">
      <calculatedColumnFormula>IF(OR(B5=1,J5=""),"",(B5/J5-1)/(B5-1))</calculatedColumnFormula>
    </tableColumn>
    <tableColumn id="13" xr3:uid="{83B2803E-62AB-4FEE-884F-66CF691643F2}" name="Notiz" dataDxfId="35"/>
    <tableColumn id="14" xr3:uid="{13D1BB1D-CB6D-4DC8-A263-0876605944A8}" name="π Run 1"/>
    <tableColumn id="15" xr3:uid="{67B43C5F-7FF2-42F6-84C5-B45DE645512E}" name="π Run 2"/>
    <tableColumn id="16" xr3:uid="{31921423-C225-4835-8FE6-3D7A7923BD4A}" name="π Run 3"/>
    <tableColumn id="17" xr3:uid="{29D8833F-1376-4BE6-86A2-1709266F76D7}" name="π Run 4"/>
    <tableColumn id="18" xr3:uid="{1755D422-1281-420E-B9D7-EDF738DBC98E}" name="π Run 5"/>
    <tableColumn id="19" xr3:uid="{C1B61425-0A2F-4386-8A35-B3658F5EF66F}" name="Ø |π−πref|" dataDxfId="34">
      <calculatedColumnFormula>IF(COUNT(N5:R5)=0,"",(IF(N5="",0,ABS(N5-PI()))+IF(O5="",0,ABS(O5-PI()))+IF(P5="",0,ABS(P5-PI()))+IF(Q5="",0,ABS(Q5-PI()))+IF(R5="",0,ABS(R5-PI())))/COUNT(N5:R5))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8925100-D3C0-485B-9CC4-E7D70E8D55F2}" name="MatrixMultiplicationAmdhal" displayName="MatrixMultiplicationAmdhal" ref="A4:L12" totalsRowShown="0" headerRowDxfId="79" dataDxfId="78" headerRowCellStyle="Normal" dataCellStyle="Normal">
  <autoFilter ref="A4:L12" xr:uid="{68925100-D3C0-485B-9CC4-E7D70E8D55F2}"/>
  <tableColumns count="12">
    <tableColumn id="1" xr3:uid="{75390A81-45CE-4EC9-B11F-5FC761AFC4FC}" name="Matrixgröße N" dataDxfId="77" dataCellStyle="Normal"/>
    <tableColumn id="2" xr3:uid="{BD915B84-A0CB-4729-B1D1-633E7EE6B29C}" name="Worker" dataDxfId="76" dataCellStyle="Normal"/>
    <tableColumn id="3" xr3:uid="{9D9AAC34-8DB9-4982-A82C-75F364EFED79}" name="Run 1 [s]" dataDxfId="75" dataCellStyle="Normal"/>
    <tableColumn id="4" xr3:uid="{4CC29FEB-6281-4AC6-9D7F-A0BC615E7E0F}" name="Run 2 [s]" dataDxfId="74" dataCellStyle="Normal"/>
    <tableColumn id="5" xr3:uid="{2F2C1EA8-2D5E-4209-B2D1-680FD3A8CAD1}" name="Run 3 [s]" dataDxfId="73" dataCellStyle="Normal"/>
    <tableColumn id="6" xr3:uid="{B5DA5340-1F69-4059-82F0-42D2F35540BE}" name="Run 4 [s]" dataDxfId="72" dataCellStyle="Normal"/>
    <tableColumn id="7" xr3:uid="{0FCE3BBB-2A8C-499E-80C8-F91D684341AB}" name="Run 5 [s]" dataDxfId="71" dataCellStyle="Normal"/>
    <tableColumn id="8" xr3:uid="{F82AD045-17AD-467C-836F-D7B8619FC3D2}" name="Ø Zeit [s]" dataDxfId="70" dataCellStyle="Normal">
      <calculatedColumnFormula>IF(COUNT(C5:G5)=0,"",AVERAGE(C5:G5))</calculatedColumnFormula>
    </tableColumn>
    <tableColumn id="9" xr3:uid="{E312F5E9-847D-4994-8FA0-93194E47656D}" name="Stdabw. [s]" dataDxfId="69" dataCellStyle="Normal">
      <calculatedColumnFormula>IF(COUNT(C5:G5)&lt;2,"",_xlfn.STDEV.S(C5:G5))</calculatedColumnFormula>
    </tableColumn>
    <tableColumn id="10" xr3:uid="{741EB420-3070-4231-A020-1EE93AC747DE}" name="Speedup" dataDxfId="68" dataCellStyle="Normal">
      <calculatedColumnFormula>IF(OR(H5="",SUMIFS($H$5:$H$12,$A$5:$A$12,A5,$B$5:$B$12,1)=0),"",SUMIFS($H$5:$H$12,$A$5:$A$12,A5,$B$5:$B$12,1)/H5)</calculatedColumnFormula>
    </tableColumn>
    <tableColumn id="11" xr3:uid="{038C771F-5FCC-4C18-A96A-A931EC925B5D}" name="Effizienz" dataDxfId="67" dataCellStyle="Normal">
      <calculatedColumnFormula>IF(OR(J5="",B5=0),"",J5/B5)</calculatedColumnFormula>
    </tableColumn>
    <tableColumn id="12" xr3:uid="{5EA94053-E752-479E-8E72-B7D941AA25F7}" name="serieller Anteil f" dataDxfId="66" dataCellStyle="Normal">
      <calculatedColumnFormula>IF(B5=1,"",IF(J5="","",(B5/J5-1)/(B5-1)))</calculatedColumnFormula>
    </tableColumn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234CEDD-42B1-4D8D-B024-D0A3FC1F45CD}" name="MonteCarloGustafson" displayName="MonteCarloGustafson" ref="A4:P8" totalsRowShown="0" headerRowDxfId="33" dataDxfId="32" headerRowCellStyle="Normal" dataCellStyle="Normal">
  <autoFilter ref="A4:P8" xr:uid="{9234CEDD-42B1-4D8D-B024-D0A3FC1F45CD}"/>
  <tableColumns count="16">
    <tableColumn id="1" xr3:uid="{A8BFD51E-9476-491F-BA6C-7B7BA0E36D10}" name="Gesamt-Samples" dataDxfId="31" dataCellStyle="Normal"/>
    <tableColumn id="2" xr3:uid="{12FE18C5-4EF1-40EC-959D-D56A291583AD}" name="Worker" dataDxfId="30" dataCellStyle="Normal"/>
    <tableColumn id="3" xr3:uid="{6C4B53ED-49D8-42B7-BDCC-0142EEBE6EF0}" name="Run 1 [s]" dataDxfId="29" dataCellStyle="Normal"/>
    <tableColumn id="4" xr3:uid="{5E5D339A-4C09-49A6-AB53-A1D562177A7E}" name="Run 2 [s]" dataDxfId="28" dataCellStyle="Normal"/>
    <tableColumn id="5" xr3:uid="{F87B6BE4-094E-49BE-9255-61D56B7F6541}" name="Run 3 [s]" dataDxfId="27" dataCellStyle="Normal"/>
    <tableColumn id="6" xr3:uid="{E0A23D7B-4AD4-48CF-9034-C795464D700C}" name="Run 4 [s]" dataDxfId="26" dataCellStyle="Normal"/>
    <tableColumn id="7" xr3:uid="{7B161742-E882-4509-ADF4-C0B62A034EB3}" name="Run 5 [s]" dataDxfId="25" dataCellStyle="Normal"/>
    <tableColumn id="8" xr3:uid="{576D1F96-A50A-4AF7-B873-3D12278AD328}" name="Ø Zeit [s]" dataDxfId="24" dataCellStyle="Normal">
      <calculatedColumnFormula>IF(COUNT(C5:G5)=0,"",AVERAGE(C5:G5))</calculatedColumnFormula>
    </tableColumn>
    <tableColumn id="9" xr3:uid="{80E630CE-2C05-45D6-A56F-74D8FB50E148}" name="Stdabw. [s]" dataDxfId="23" dataCellStyle="Normal">
      <calculatedColumnFormula>IF(COUNT(C5:G5)&lt;2,"",_xlfn.STDEV.S(C5:G5))</calculatedColumnFormula>
    </tableColumn>
    <tableColumn id="10" xr3:uid="{CAE121B7-A015-4C8F-AC7B-0FE599D1A1C4}" name="Weak-Effizienz" dataDxfId="22" dataCellStyle="Normal">
      <calculatedColumnFormula>IF(OR(H$5="",H5=""),"",H$5/H5)</calculatedColumnFormula>
    </tableColumn>
    <tableColumn id="11" xr3:uid="{70877B8E-5FC8-4E15-8FFB-CD5D46CBF3F6}" name="Workload-Faktor" dataDxfId="21" dataCellStyle="Normal">
      <calculatedColumnFormula>IF(A$5=0,"",A5/A$5)</calculatedColumnFormula>
    </tableColumn>
    <tableColumn id="15" xr3:uid="{165B9CBF-58FE-4584-916E-DEB658899DA5}" name="Run1 " dataDxfId="20" dataCellStyle="Normal"/>
    <tableColumn id="16" xr3:uid="{300C5DF2-FE8E-4F7C-836E-423F5D6AB71F}" name="Run 2" dataDxfId="19" dataCellStyle="Normal"/>
    <tableColumn id="17" xr3:uid="{90BDFB70-97FD-4B08-AEED-7AA1C24E8B92}" name="Run 3" dataDxfId="18" dataCellStyle="Normal"/>
    <tableColumn id="18" xr3:uid="{B7DE7975-154B-4AB3-958E-2D034CC19C35}" name="Run 4" dataDxfId="17" dataCellStyle="Normal"/>
    <tableColumn id="19" xr3:uid="{FD304172-228F-431E-A162-7FDF9F878ABC}" name="Run 5" dataDxfId="16" dataCellStyle="Normal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635FD66-4390-4EBF-B4CD-B8C1A1E48E2B}" name="Tabelle4" displayName="Tabelle4" ref="A4:N8" totalsRowShown="0" headerRowDxfId="15" dataDxfId="14" headerRowCellStyle="Normal" dataCellStyle="Normal">
  <autoFilter ref="A4:N8" xr:uid="{6635FD66-4390-4EBF-B4CD-B8C1A1E48E2B}"/>
  <tableColumns count="14">
    <tableColumn id="1" xr3:uid="{27F7CA6A-3D56-40D6-ADE0-FFAE220D4151}" name="Matrixgröße N" dataDxfId="13" dataCellStyle="Normal"/>
    <tableColumn id="2" xr3:uid="{C29BB38F-28C1-4137-8B49-BCA27E4C95DB}" name="Worker" dataDxfId="12" dataCellStyle="Normal"/>
    <tableColumn id="3" xr3:uid="{28322E72-A39F-43F5-BD55-6C18EC694C46}" name="Run 1 [s]" dataDxfId="11" dataCellStyle="Normal"/>
    <tableColumn id="4" xr3:uid="{4AF5745B-F1B9-474E-BA32-46454B3D7929}" name="Run 2 [s]" dataDxfId="10" dataCellStyle="Normal"/>
    <tableColumn id="5" xr3:uid="{8704D159-FFDD-4B7C-A9D7-6E7604FBDE0F}" name="Run 3 [s]" dataDxfId="9" dataCellStyle="Normal"/>
    <tableColumn id="6" xr3:uid="{ED26B7F5-B6BD-48CC-9B3D-EE9C97F49C7E}" name="Run 4 [s]" dataDxfId="8" dataCellStyle="Normal"/>
    <tableColumn id="7" xr3:uid="{E00A9745-3C24-4618-AA71-FAD97A626C29}" name="Run 5 [s]" dataDxfId="7" dataCellStyle="Normal"/>
    <tableColumn id="8" xr3:uid="{82280F6E-1432-49B0-B60B-7438187285CB}" name="Ø Zeit [s]" dataDxfId="6" dataCellStyle="Normal">
      <calculatedColumnFormula>IF(COUNT(C5:G5)=0,"",AVERAGE(C5:G5))</calculatedColumnFormula>
    </tableColumn>
    <tableColumn id="9" xr3:uid="{B9A3525F-025A-42A4-AEFF-CAA7B462AFDA}" name="Stdabw. [s]" dataDxfId="5" dataCellStyle="Normal">
      <calculatedColumnFormula>IF(COUNT(C5:G5)&lt;2,"",_xlfn.STDEV.S(C5:G5))</calculatedColumnFormula>
    </tableColumn>
    <tableColumn id="10" xr3:uid="{5764923B-3C9B-461B-8C0D-DCC986BEFB8F}" name="Weak-Effizienz" dataDxfId="4" dataCellStyle="Normal">
      <calculatedColumnFormula>IF(OR(H$5="",H5=""),"",H$5/H5)</calculatedColumnFormula>
    </tableColumn>
    <tableColumn id="11" xr3:uid="{998BDF9E-B815-45E0-B26E-D6204860C410}" name="Workload-Faktor" dataDxfId="3" dataCellStyle="Normal">
      <calculatedColumnFormula>(A5/$A$5)^3</calculatedColumnFormula>
    </tableColumn>
    <tableColumn id="12" xr3:uid="{F91245A2-490B-492F-BCBF-949DD1338485}" name="Gustafson S_G" dataDxfId="2" dataCellStyle="Normal"/>
    <tableColumn id="13" xr3:uid="{C37CE1AD-2476-44BA-A24D-80F5E8966500}" name="Notiz" dataDxfId="1" dataCellStyle="Normal"/>
    <tableColumn id="14" xr3:uid="{F2DC386A-22CC-451D-AF75-8AEE0357DCCB}" name="Checkwert" dataDxfId="0" dataCellStyle="Normal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9"/>
  <sheetViews>
    <sheetView tabSelected="1" workbookViewId="0">
      <selection activeCell="A21" sqref="A21:A22"/>
    </sheetView>
  </sheetViews>
  <sheetFormatPr baseColWidth="10" defaultColWidth="9" defaultRowHeight="14.25"/>
  <cols>
    <col min="1" max="1" width="15.375" customWidth="1"/>
    <col min="2" max="3" width="10" customWidth="1"/>
    <col min="4" max="4" width="14.375" customWidth="1"/>
    <col min="5" max="5" width="13" customWidth="1"/>
    <col min="6" max="10" width="16.125" customWidth="1"/>
    <col min="11" max="11" width="13" customWidth="1"/>
    <col min="12" max="12" width="18" customWidth="1"/>
    <col min="13" max="14" width="14.375" customWidth="1"/>
    <col min="15" max="15" width="16.5" bestFit="1" customWidth="1"/>
    <col min="16" max="17" width="14.375" customWidth="1"/>
    <col min="18" max="20" width="13" customWidth="1"/>
  </cols>
  <sheetData>
    <row r="1" spans="1:21" ht="21">
      <c r="A1" s="31" t="s">
        <v>2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5"/>
      <c r="Q1" s="5"/>
      <c r="R1" s="5"/>
      <c r="S1" s="5"/>
      <c r="T1" s="5"/>
    </row>
    <row r="2" spans="1:21" ht="1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3" spans="1:21" ht="1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1" ht="1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0</v>
      </c>
      <c r="T4" s="1" t="s">
        <v>1</v>
      </c>
    </row>
    <row r="5" spans="1:21">
      <c r="A5" s="2">
        <v>5000</v>
      </c>
      <c r="B5" s="2">
        <v>1</v>
      </c>
      <c r="C5" s="2">
        <v>1</v>
      </c>
      <c r="D5" s="2" t="s">
        <v>21</v>
      </c>
      <c r="E5" s="2">
        <v>1</v>
      </c>
      <c r="F5" s="11">
        <v>0.16841999999999999</v>
      </c>
      <c r="G5" s="11">
        <v>0.16836999999999999</v>
      </c>
      <c r="H5" s="11">
        <v>0.16833000000000001</v>
      </c>
      <c r="I5" s="11"/>
      <c r="J5" s="11"/>
      <c r="K5" s="12">
        <f>IF(COUNT(F5:J5)=0,"",AVERAGE(F5:J5))</f>
        <v>0.16837333333333335</v>
      </c>
      <c r="L5" s="12">
        <f>IF(COUNT(F5:J5)&lt;2,"",_xlfn.STDEV.S(F5:J5))</f>
        <v>4.5092497528218644E-5</v>
      </c>
      <c r="M5" s="13" t="s">
        <v>22</v>
      </c>
      <c r="N5" s="2">
        <v>495.17</v>
      </c>
      <c r="O5" s="2">
        <v>495.27</v>
      </c>
      <c r="P5" s="2"/>
      <c r="Q5" s="2"/>
      <c r="R5" s="4">
        <f>IF(COUNT(M5:Q5)=0,"",AVERAGE(M5:Q5))</f>
        <v>495.22</v>
      </c>
      <c r="S5" s="4">
        <f>IF(OR(R5="",R5=""),"",R5/R5)</f>
        <v>1</v>
      </c>
      <c r="T5" s="3">
        <f>IF(OR(S5="",E5=0),"",S5/E5)</f>
        <v>1</v>
      </c>
    </row>
    <row r="6" spans="1:21">
      <c r="A6" s="2">
        <v>5000</v>
      </c>
      <c r="B6" s="2">
        <v>1</v>
      </c>
      <c r="C6" s="2">
        <v>2</v>
      </c>
      <c r="D6" s="2" t="s">
        <v>23</v>
      </c>
      <c r="E6" s="2">
        <v>2</v>
      </c>
      <c r="F6" s="11">
        <v>0.29602000000000001</v>
      </c>
      <c r="G6" s="11">
        <v>0.29602000000000001</v>
      </c>
      <c r="H6" s="11">
        <v>0.29602000000000001</v>
      </c>
      <c r="I6" s="11">
        <v>0.29594999999999999</v>
      </c>
      <c r="J6" s="11">
        <v>0.29598999999999998</v>
      </c>
      <c r="K6" s="12">
        <f t="shared" ref="K6:K16" si="0">IF(COUNT(F6:J6)=0,"",AVERAGE(F6:J6))</f>
        <v>0.29599999999999999</v>
      </c>
      <c r="L6" s="12">
        <f t="shared" ref="L6:L15" si="1">IF(COUNT(F6:J6)&lt;2,"",_xlfn.STDEV.S(F6:J6))</f>
        <v>3.0822070014853192E-5</v>
      </c>
      <c r="M6" s="2">
        <v>281.64</v>
      </c>
      <c r="N6" s="2">
        <v>281.64</v>
      </c>
      <c r="O6" s="2">
        <v>281.64</v>
      </c>
      <c r="P6" s="2">
        <v>281.70999999999998</v>
      </c>
      <c r="Q6" s="2">
        <v>281.66000000000003</v>
      </c>
      <c r="R6" s="4">
        <f>IF(COUNT(M6:Q6)=0,"",AVERAGE(M6:Q6))</f>
        <v>281.65800000000002</v>
      </c>
      <c r="S6" s="4">
        <f>IF(OR(R5="",R6=""),"",R5/R6)</f>
        <v>1.7582316142271832</v>
      </c>
      <c r="T6" s="3">
        <f>IF(OR(S6="",E6=0),"",S6/E6)</f>
        <v>0.87911580711359161</v>
      </c>
    </row>
    <row r="7" spans="1:21">
      <c r="A7" s="2">
        <v>5000</v>
      </c>
      <c r="B7" s="2">
        <v>2</v>
      </c>
      <c r="C7" s="2">
        <v>2</v>
      </c>
      <c r="D7" s="2" t="s">
        <v>24</v>
      </c>
      <c r="E7" s="2">
        <v>4</v>
      </c>
      <c r="F7" s="11">
        <v>0.53544999999999998</v>
      </c>
      <c r="G7" s="11">
        <v>0.53388999999999998</v>
      </c>
      <c r="H7" s="11">
        <v>0.53527000000000002</v>
      </c>
      <c r="I7" s="11">
        <v>0.53480000000000005</v>
      </c>
      <c r="J7" s="11">
        <v>0.53530999999999995</v>
      </c>
      <c r="K7" s="12">
        <f t="shared" si="0"/>
        <v>0.53494400000000009</v>
      </c>
      <c r="L7" s="12">
        <f t="shared" si="1"/>
        <v>6.3794984128848209E-4</v>
      </c>
      <c r="M7" s="2">
        <v>155.69999999999999</v>
      </c>
      <c r="N7" s="2">
        <v>156.16</v>
      </c>
      <c r="O7" s="2">
        <v>155.75</v>
      </c>
      <c r="P7" s="2">
        <v>155.88999999999999</v>
      </c>
      <c r="Q7" s="2">
        <v>155.74</v>
      </c>
      <c r="R7" s="4">
        <f t="shared" ref="R7:R15" si="2">IF(COUNT(M7:O7)=0,"",AVERAGE(M7:O7))</f>
        <v>155.87</v>
      </c>
      <c r="S7" s="4">
        <f>IF(OR(R5="",R7=""),"",R5/R7)</f>
        <v>3.1771347918136912</v>
      </c>
      <c r="T7" s="3">
        <f t="shared" ref="T7:T16" si="3">IF(OR(S7="",E7=0),"",S7/E7)</f>
        <v>0.7942836979534228</v>
      </c>
    </row>
    <row r="8" spans="1:21">
      <c r="A8" s="2">
        <v>5000</v>
      </c>
      <c r="B8" s="2">
        <v>2</v>
      </c>
      <c r="C8" s="2">
        <v>4</v>
      </c>
      <c r="D8" s="2" t="s">
        <v>25</v>
      </c>
      <c r="E8" s="2">
        <v>8</v>
      </c>
      <c r="F8" s="11">
        <v>0.93815000000000004</v>
      </c>
      <c r="G8" s="11">
        <v>0.93781999999999999</v>
      </c>
      <c r="H8" s="11">
        <v>0.94067000000000001</v>
      </c>
      <c r="I8" s="11">
        <v>0.93742000000000003</v>
      </c>
      <c r="J8" s="11">
        <v>0.93881000000000003</v>
      </c>
      <c r="K8" s="12">
        <f t="shared" si="0"/>
        <v>0.93857400000000002</v>
      </c>
      <c r="L8" s="12">
        <f t="shared" si="1"/>
        <v>1.2775875703841162E-3</v>
      </c>
      <c r="M8" s="13">
        <v>88.87</v>
      </c>
      <c r="N8" s="2">
        <v>88.9</v>
      </c>
      <c r="O8" s="2">
        <v>88.63</v>
      </c>
      <c r="P8" s="2">
        <v>88.94</v>
      </c>
      <c r="Q8" s="2">
        <v>88.81</v>
      </c>
      <c r="R8" s="4">
        <f t="shared" si="2"/>
        <v>88.8</v>
      </c>
      <c r="S8" s="4">
        <f>IF(OR(R5="",R8=""),"",R5/R8)</f>
        <v>5.5768018018018024</v>
      </c>
      <c r="T8" s="3">
        <f t="shared" si="3"/>
        <v>0.6971002252252253</v>
      </c>
    </row>
    <row r="9" spans="1:21">
      <c r="A9" s="2">
        <v>8000</v>
      </c>
      <c r="B9" s="2">
        <v>1</v>
      </c>
      <c r="C9" s="2">
        <v>1</v>
      </c>
      <c r="D9" s="2" t="s">
        <v>21</v>
      </c>
      <c r="E9" s="2">
        <v>1</v>
      </c>
      <c r="F9" s="11">
        <v>0.16813</v>
      </c>
      <c r="G9" s="11">
        <v>0.16829</v>
      </c>
      <c r="H9" s="14">
        <v>0.16828000000000001</v>
      </c>
      <c r="I9" s="15">
        <v>0.16825999999999999</v>
      </c>
      <c r="J9" s="15">
        <v>0.16828000000000001</v>
      </c>
      <c r="K9" s="12">
        <f t="shared" si="0"/>
        <v>0.16824800000000001</v>
      </c>
      <c r="L9" s="12">
        <f t="shared" si="1"/>
        <v>6.6858058601788382E-5</v>
      </c>
      <c r="M9" s="2">
        <v>2030.77</v>
      </c>
      <c r="N9" s="2">
        <v>2028.8</v>
      </c>
      <c r="O9" s="2">
        <v>2028.95</v>
      </c>
      <c r="P9" s="2">
        <v>2029.12</v>
      </c>
      <c r="Q9" s="2">
        <v>2028.93</v>
      </c>
      <c r="R9" s="4">
        <f t="shared" si="2"/>
        <v>2029.5066666666664</v>
      </c>
      <c r="S9" s="4">
        <f>IF(OR(R9="",R9=""),"",R9/R9)</f>
        <v>1</v>
      </c>
      <c r="T9" s="3">
        <f t="shared" si="3"/>
        <v>1</v>
      </c>
    </row>
    <row r="10" spans="1:21">
      <c r="A10" s="2">
        <v>8000</v>
      </c>
      <c r="B10" s="2">
        <v>1</v>
      </c>
      <c r="C10" s="2">
        <v>2</v>
      </c>
      <c r="D10" s="2" t="s">
        <v>23</v>
      </c>
      <c r="E10" s="2">
        <v>2</v>
      </c>
      <c r="F10" s="11">
        <v>0.30932999999999999</v>
      </c>
      <c r="G10" s="11">
        <v>0.30932999999999999</v>
      </c>
      <c r="H10" s="11">
        <v>0.30929000000000001</v>
      </c>
      <c r="I10" s="11">
        <v>0.30931999999999998</v>
      </c>
      <c r="J10" s="11">
        <v>0.30930999999999997</v>
      </c>
      <c r="K10" s="12">
        <f>IF(COUNT(F10:J10)=0,"",AVERAGE(F10:J10))</f>
        <v>0.30931600000000004</v>
      </c>
      <c r="L10" s="12">
        <f t="shared" si="1"/>
        <v>1.6733200530676683E-5</v>
      </c>
      <c r="M10" s="2">
        <v>1103.79</v>
      </c>
      <c r="N10" s="2">
        <v>1103.78</v>
      </c>
      <c r="O10" s="2">
        <v>1103.9000000000001</v>
      </c>
      <c r="P10" s="2">
        <v>1103.81</v>
      </c>
      <c r="Q10" s="2">
        <v>1103.8499999999999</v>
      </c>
      <c r="R10" s="4">
        <f>IF(COUNT(N10:O10)=0,"",AVERAGE(N10:O10))</f>
        <v>1103.8400000000001</v>
      </c>
      <c r="S10" s="4">
        <f>IF(OR(R9="",R10=""),"",R9/R10)</f>
        <v>1.8385877180267667</v>
      </c>
      <c r="T10" s="3">
        <f t="shared" si="3"/>
        <v>0.91929385901338334</v>
      </c>
    </row>
    <row r="11" spans="1:21">
      <c r="A11" s="2">
        <v>8000</v>
      </c>
      <c r="B11" s="2">
        <v>2</v>
      </c>
      <c r="C11" s="2">
        <v>2</v>
      </c>
      <c r="D11" s="2" t="s">
        <v>24</v>
      </c>
      <c r="E11" s="2">
        <v>4</v>
      </c>
      <c r="F11" s="11">
        <v>0.57630000000000003</v>
      </c>
      <c r="G11" s="11">
        <v>0.57467999999999997</v>
      </c>
      <c r="H11" s="11">
        <v>0.5756</v>
      </c>
      <c r="I11" s="11">
        <v>0.57252999999999998</v>
      </c>
      <c r="J11" s="11">
        <v>0.57569999999999999</v>
      </c>
      <c r="K11" s="12">
        <f t="shared" si="0"/>
        <v>0.57496199999999997</v>
      </c>
      <c r="L11" s="12">
        <f t="shared" si="1"/>
        <v>1.4778430227869413E-3</v>
      </c>
      <c r="M11" s="2">
        <v>592.45000000000005</v>
      </c>
      <c r="N11" s="2">
        <v>594.12</v>
      </c>
      <c r="O11" s="2">
        <v>593.16999999999996</v>
      </c>
      <c r="P11" s="2">
        <v>596.35</v>
      </c>
      <c r="Q11" s="2">
        <v>593.07000000000005</v>
      </c>
      <c r="R11" s="4">
        <f t="shared" si="2"/>
        <v>593.24666666666678</v>
      </c>
      <c r="S11" s="4">
        <f>IF(OR(R9="",R11=""),"",R9/R11)</f>
        <v>3.4210165529796477</v>
      </c>
      <c r="T11" s="3">
        <f t="shared" si="3"/>
        <v>0.85525413824491192</v>
      </c>
    </row>
    <row r="12" spans="1:21">
      <c r="A12" s="2">
        <v>8000</v>
      </c>
      <c r="B12" s="2">
        <v>2</v>
      </c>
      <c r="C12" s="2">
        <v>4</v>
      </c>
      <c r="D12" s="2" t="s">
        <v>25</v>
      </c>
      <c r="E12" s="2">
        <v>8</v>
      </c>
      <c r="F12" s="11">
        <v>1.0202</v>
      </c>
      <c r="G12" s="11">
        <v>1.0173000000000001</v>
      </c>
      <c r="H12" s="11">
        <v>1.0194000000000001</v>
      </c>
      <c r="I12" s="11">
        <v>1.0081</v>
      </c>
      <c r="J12" s="11">
        <v>1.0157</v>
      </c>
      <c r="K12" s="12">
        <f t="shared" si="0"/>
        <v>1.01614</v>
      </c>
      <c r="L12" s="12">
        <f t="shared" si="1"/>
        <v>4.8293891953331098E-3</v>
      </c>
      <c r="M12" s="2">
        <v>334.66</v>
      </c>
      <c r="N12" s="2">
        <v>335.62</v>
      </c>
      <c r="O12" s="2">
        <v>334.94</v>
      </c>
      <c r="P12" s="2">
        <v>338.7</v>
      </c>
      <c r="Q12" s="2">
        <v>336.15</v>
      </c>
      <c r="R12" s="4">
        <f t="shared" si="2"/>
        <v>335.07333333333332</v>
      </c>
      <c r="S12" s="4">
        <f>IF(OR(R9="",R12=""),"",R9/R12)</f>
        <v>6.0569029665147927</v>
      </c>
      <c r="T12" s="3">
        <f t="shared" si="3"/>
        <v>0.75711287081434908</v>
      </c>
    </row>
    <row r="13" spans="1:21">
      <c r="A13" s="2">
        <v>18000</v>
      </c>
      <c r="B13" s="2">
        <v>1</v>
      </c>
      <c r="C13" s="2">
        <v>1</v>
      </c>
      <c r="D13" s="2" t="s">
        <v>21</v>
      </c>
      <c r="E13" s="2">
        <v>1</v>
      </c>
      <c r="F13" s="11" t="s">
        <v>26</v>
      </c>
      <c r="G13" s="11" t="s">
        <v>26</v>
      </c>
      <c r="H13" s="11" t="s">
        <v>26</v>
      </c>
      <c r="I13" s="11" t="s">
        <v>26</v>
      </c>
      <c r="J13" s="11" t="s">
        <v>26</v>
      </c>
      <c r="K13" s="12" t="str">
        <f t="shared" si="0"/>
        <v/>
      </c>
      <c r="L13" s="12" t="str">
        <f t="shared" si="1"/>
        <v/>
      </c>
      <c r="M13" s="11" t="s">
        <v>26</v>
      </c>
      <c r="N13" s="11" t="s">
        <v>26</v>
      </c>
      <c r="O13" s="11" t="s">
        <v>26</v>
      </c>
      <c r="P13" s="11" t="s">
        <v>26</v>
      </c>
      <c r="Q13" s="11" t="s">
        <v>26</v>
      </c>
      <c r="R13" s="4" t="str">
        <f t="shared" si="2"/>
        <v/>
      </c>
      <c r="S13" s="4" t="str">
        <f>IF(OR(R13="",R13=""),"",R13/R13)</f>
        <v/>
      </c>
      <c r="T13" s="3" t="str">
        <f t="shared" si="3"/>
        <v/>
      </c>
      <c r="U13" t="s">
        <v>27</v>
      </c>
    </row>
    <row r="14" spans="1:21">
      <c r="A14" s="2">
        <v>18000</v>
      </c>
      <c r="B14" s="2">
        <v>1</v>
      </c>
      <c r="C14" s="2">
        <v>2</v>
      </c>
      <c r="D14" s="2" t="s">
        <v>23</v>
      </c>
      <c r="E14" s="2">
        <v>2</v>
      </c>
      <c r="F14" s="11" t="s">
        <v>26</v>
      </c>
      <c r="G14" s="11" t="s">
        <v>26</v>
      </c>
      <c r="H14" s="11" t="s">
        <v>26</v>
      </c>
      <c r="I14" s="11" t="s">
        <v>26</v>
      </c>
      <c r="J14" s="11" t="s">
        <v>26</v>
      </c>
      <c r="K14" s="12" t="str">
        <f t="shared" si="0"/>
        <v/>
      </c>
      <c r="L14" s="12" t="str">
        <f t="shared" si="1"/>
        <v/>
      </c>
      <c r="M14" s="11" t="s">
        <v>26</v>
      </c>
      <c r="N14" s="11" t="s">
        <v>26</v>
      </c>
      <c r="O14" s="11" t="s">
        <v>26</v>
      </c>
      <c r="P14" s="11" t="s">
        <v>26</v>
      </c>
      <c r="Q14" s="11" t="s">
        <v>26</v>
      </c>
      <c r="R14" s="4" t="str">
        <f t="shared" si="2"/>
        <v/>
      </c>
      <c r="S14" s="4" t="str">
        <f>IF(OR(R13="",R14=""),"",R13/R14)</f>
        <v/>
      </c>
      <c r="T14" s="3" t="str">
        <f t="shared" si="3"/>
        <v/>
      </c>
      <c r="U14" t="s">
        <v>28</v>
      </c>
    </row>
    <row r="15" spans="1:21">
      <c r="A15" s="2">
        <v>18000</v>
      </c>
      <c r="B15" s="2">
        <v>2</v>
      </c>
      <c r="C15" s="2">
        <v>2</v>
      </c>
      <c r="D15" s="2" t="s">
        <v>24</v>
      </c>
      <c r="E15" s="2">
        <v>4</v>
      </c>
      <c r="F15" s="11">
        <v>0.62602999999999998</v>
      </c>
      <c r="G15" s="11">
        <v>0.58559000000000005</v>
      </c>
      <c r="H15" s="11">
        <v>0.62546000000000002</v>
      </c>
      <c r="I15" s="11">
        <v>0.62538000000000005</v>
      </c>
      <c r="J15" s="11">
        <v>0.62080999999999997</v>
      </c>
      <c r="K15" s="12">
        <f t="shared" si="0"/>
        <v>0.61665400000000004</v>
      </c>
      <c r="L15" s="12">
        <f t="shared" si="1"/>
        <v>1.7491730331788198E-2</v>
      </c>
      <c r="M15" s="2">
        <v>6211.37</v>
      </c>
      <c r="N15" s="2">
        <v>6640.24</v>
      </c>
      <c r="O15" s="2">
        <v>6217</v>
      </c>
      <c r="P15" s="2">
        <v>6217.8</v>
      </c>
      <c r="Q15" s="2">
        <v>6263.59</v>
      </c>
      <c r="R15" s="4">
        <f t="shared" si="2"/>
        <v>6356.2033333333338</v>
      </c>
      <c r="S15" s="4" t="str">
        <f>IF(OR(R13="",R15=""),"",R13/R15)</f>
        <v/>
      </c>
      <c r="T15" s="3" t="str">
        <f t="shared" si="3"/>
        <v/>
      </c>
    </row>
    <row r="16" spans="1:21">
      <c r="A16" s="2">
        <v>18000</v>
      </c>
      <c r="B16" s="2">
        <v>2</v>
      </c>
      <c r="C16" s="2">
        <v>4</v>
      </c>
      <c r="D16" s="2" t="s">
        <v>25</v>
      </c>
      <c r="E16" s="2">
        <v>8</v>
      </c>
      <c r="F16" s="11">
        <v>1.1621999999999999</v>
      </c>
      <c r="G16" s="11">
        <v>1.1577999999999999</v>
      </c>
      <c r="H16" s="11">
        <v>1.1309</v>
      </c>
      <c r="I16" s="11">
        <v>1.1593</v>
      </c>
      <c r="J16" s="11">
        <v>1.1547000000000001</v>
      </c>
      <c r="K16" s="12">
        <f t="shared" si="0"/>
        <v>1.1529799999999999</v>
      </c>
      <c r="L16" s="12">
        <f>IF(COUNT(F16:J16)&lt;2,"",_xlfn.STDEV.S(F16:J16))</f>
        <v>1.2635940803913226E-2</v>
      </c>
      <c r="M16" s="2">
        <v>3345.74</v>
      </c>
      <c r="N16" s="2">
        <v>3358.49</v>
      </c>
      <c r="O16" s="2">
        <v>3438.29</v>
      </c>
      <c r="P16" s="2">
        <v>3354.06</v>
      </c>
      <c r="Q16" s="2">
        <v>3367.5</v>
      </c>
      <c r="R16" s="4">
        <f>IF(COUNT(M16:P16)=0,"",AVERAGE(M16:P16))</f>
        <v>3374.145</v>
      </c>
      <c r="S16" s="4" t="str">
        <f>IF(OR(R13="",R16=""),"",R13/R16)</f>
        <v/>
      </c>
      <c r="T16" s="3" t="str">
        <f t="shared" si="3"/>
        <v/>
      </c>
    </row>
    <row r="17" spans="1:20" ht="1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 ht="1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 ht="1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 ht="1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 ht="1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1:20" ht="1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 ht="1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 ht="1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spans="1:20" ht="1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 ht="1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 ht="1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 ht="1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 ht="1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</sheetData>
  <mergeCells count="1">
    <mergeCell ref="A1:O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9"/>
  <sheetViews>
    <sheetView workbookViewId="0">
      <selection activeCell="B24" sqref="B24"/>
    </sheetView>
  </sheetViews>
  <sheetFormatPr baseColWidth="10" defaultColWidth="9" defaultRowHeight="14.25"/>
  <cols>
    <col min="1" max="1" width="17.375" customWidth="1"/>
    <col min="2" max="2" width="9.125" customWidth="1"/>
    <col min="3" max="6" width="12" customWidth="1"/>
    <col min="7" max="7" width="10.25" customWidth="1"/>
    <col min="8" max="8" width="12" customWidth="1"/>
    <col min="9" max="9" width="12.25" customWidth="1"/>
    <col min="10" max="10" width="10.375" customWidth="1"/>
    <col min="11" max="11" width="10" customWidth="1"/>
    <col min="12" max="12" width="16" customWidth="1"/>
    <col min="13" max="13" width="24" customWidth="1"/>
    <col min="14" max="18" width="12" customWidth="1"/>
    <col min="19" max="19" width="14" customWidth="1"/>
  </cols>
  <sheetData>
    <row r="1" spans="1:20" ht="26.1" customHeight="1">
      <c r="A1" s="32" t="s">
        <v>50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3"/>
      <c r="P1" s="33"/>
      <c r="Q1" s="33"/>
      <c r="R1" s="33"/>
      <c r="S1" s="33"/>
      <c r="T1" s="5"/>
    </row>
    <row r="2" spans="1:20" ht="1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3" spans="1:20" ht="1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 ht="30" customHeight="1">
      <c r="A4" s="16" t="s">
        <v>40</v>
      </c>
      <c r="B4" s="16" t="s">
        <v>7</v>
      </c>
      <c r="C4" s="16" t="s">
        <v>30</v>
      </c>
      <c r="D4" s="16" t="s">
        <v>31</v>
      </c>
      <c r="E4" s="16" t="s">
        <v>32</v>
      </c>
      <c r="F4" s="16" t="s">
        <v>33</v>
      </c>
      <c r="G4" s="16" t="s">
        <v>34</v>
      </c>
      <c r="H4" s="16" t="s">
        <v>20</v>
      </c>
      <c r="I4" s="16" t="s">
        <v>35</v>
      </c>
      <c r="J4" s="16" t="s">
        <v>0</v>
      </c>
      <c r="K4" s="16" t="s">
        <v>1</v>
      </c>
      <c r="L4" s="16" t="s">
        <v>36</v>
      </c>
      <c r="M4" s="16" t="s">
        <v>37</v>
      </c>
      <c r="N4" s="16" t="s">
        <v>51</v>
      </c>
      <c r="O4" s="17" t="s">
        <v>52</v>
      </c>
      <c r="P4" s="17" t="s">
        <v>53</v>
      </c>
      <c r="Q4" s="17" t="s">
        <v>54</v>
      </c>
      <c r="R4" s="17" t="s">
        <v>55</v>
      </c>
      <c r="S4" s="17" t="s">
        <v>56</v>
      </c>
      <c r="T4" s="5"/>
    </row>
    <row r="5" spans="1:20" ht="15">
      <c r="A5" s="20">
        <v>10000000</v>
      </c>
      <c r="B5" s="23">
        <v>1</v>
      </c>
      <c r="C5">
        <v>0.99736800000000003</v>
      </c>
      <c r="D5">
        <v>1.0403990000000001</v>
      </c>
      <c r="E5">
        <v>1.0312779999999999</v>
      </c>
      <c r="F5">
        <v>1.0337080000000001</v>
      </c>
      <c r="G5">
        <v>1.040724</v>
      </c>
      <c r="H5" s="25">
        <f t="shared" ref="H5:H16" si="0">IF(COUNT(C5:G5)=0,"",AVERAGE(C5:G5))</f>
        <v>1.0286953999999999</v>
      </c>
      <c r="I5" s="25">
        <f t="shared" ref="I5:I16" si="1">IF(COUNT(C5:G5)&lt;2,"",STDEV(C5:G5))</f>
        <v>1.7992105513252192E-2</v>
      </c>
      <c r="J5" s="21">
        <f t="shared" ref="J5:J15" si="2">IF(OR(H5="",SUMIFS($H$5:$H$16,$A$5:$A$16,A5,$B$5:$B$16,1)=0),"",SUMIFS($H$5:$H$16,$A$5:$A$16,A5,$B$5:$B$16,1)/H5)</f>
        <v>1</v>
      </c>
      <c r="K5" s="22">
        <f t="shared" ref="K5:K16" si="3">IF(OR(J5="",B5=0),"",J5/B5)</f>
        <v>1</v>
      </c>
      <c r="L5" s="22" t="str">
        <f t="shared" ref="L5:L16" si="4">IF(OR(B5=1,J5=""),"",(B5/J5-1)/(B5-1))</f>
        <v/>
      </c>
      <c r="M5" s="18"/>
      <c r="N5">
        <v>3.1411128000000001</v>
      </c>
      <c r="O5">
        <v>3.1409812000000001</v>
      </c>
      <c r="P5">
        <v>3.1415576000000001</v>
      </c>
      <c r="Q5">
        <v>3.1409608000000002</v>
      </c>
      <c r="R5">
        <v>3.1426647999999999</v>
      </c>
      <c r="S5" s="24">
        <f t="shared" ref="S5:S16" si="5">IF(COUNT(N5:R5)=0,"",(IF(N5="",0,ABS(N5-PI()))+IF(O5="",0,ABS(O5-PI()))+IF(P5="",0,ABS(P5-PI()))+IF(Q5="",0,ABS(Q5-PI()))+IF(R5="",0,ABS(R5-PI())))/COUNT(N5:R5))</f>
        <v>5.6607215387574075E-4</v>
      </c>
      <c r="T5" s="5"/>
    </row>
    <row r="6" spans="1:20" ht="15">
      <c r="A6" s="20">
        <v>10000000</v>
      </c>
      <c r="B6" s="23">
        <v>2</v>
      </c>
      <c r="C6">
        <v>0.51516399999999996</v>
      </c>
      <c r="D6">
        <v>0.55729799999999996</v>
      </c>
      <c r="E6">
        <v>0.51676800000000001</v>
      </c>
      <c r="F6">
        <v>0.52231799999999995</v>
      </c>
      <c r="G6">
        <v>0.518123</v>
      </c>
      <c r="H6" s="25">
        <f t="shared" si="0"/>
        <v>0.52593419999999991</v>
      </c>
      <c r="I6" s="25">
        <f t="shared" si="1"/>
        <v>1.7732710796716889E-2</v>
      </c>
      <c r="J6" s="21">
        <f t="shared" si="2"/>
        <v>1.955939355151272</v>
      </c>
      <c r="K6" s="22">
        <f t="shared" si="3"/>
        <v>0.97796967757563602</v>
      </c>
      <c r="L6" s="22">
        <f t="shared" si="4"/>
        <v>2.252659047566441E-2</v>
      </c>
      <c r="M6" s="18"/>
      <c r="N6">
        <v>3.1421687999999999</v>
      </c>
      <c r="O6">
        <v>3.1420439999999998</v>
      </c>
      <c r="P6">
        <v>3.1408444000000002</v>
      </c>
      <c r="Q6">
        <v>3.1425436000000002</v>
      </c>
      <c r="R6">
        <v>3.1419899999999998</v>
      </c>
      <c r="S6" s="24">
        <f t="shared" si="5"/>
        <v>6.2480784612404248E-4</v>
      </c>
      <c r="T6" s="5"/>
    </row>
    <row r="7" spans="1:20" ht="15">
      <c r="A7" s="20">
        <v>10000000</v>
      </c>
      <c r="B7" s="23">
        <v>4</v>
      </c>
      <c r="C7">
        <v>0.28196599999999999</v>
      </c>
      <c r="D7">
        <v>0.30825200000000003</v>
      </c>
      <c r="E7">
        <v>0.31924999999999998</v>
      </c>
      <c r="F7">
        <v>0.31540400000000002</v>
      </c>
      <c r="G7">
        <v>0.27362399999999998</v>
      </c>
      <c r="H7" s="25">
        <f t="shared" si="0"/>
        <v>0.29969919999999994</v>
      </c>
      <c r="I7" s="25">
        <f t="shared" si="1"/>
        <v>2.0593732959325279E-2</v>
      </c>
      <c r="J7" s="21">
        <f t="shared" si="2"/>
        <v>3.4324262460493724</v>
      </c>
      <c r="K7" s="22">
        <f t="shared" si="3"/>
        <v>0.8581065615123431</v>
      </c>
      <c r="L7" s="22">
        <f t="shared" si="4"/>
        <v>5.5118810355977731E-2</v>
      </c>
      <c r="M7" s="18"/>
      <c r="N7">
        <v>3.1409660000000001</v>
      </c>
      <c r="O7">
        <v>3.1411584000000001</v>
      </c>
      <c r="P7">
        <v>3.141124</v>
      </c>
      <c r="Q7">
        <v>3.1409935999999998</v>
      </c>
      <c r="R7">
        <v>3.1423036</v>
      </c>
      <c r="S7" s="24">
        <f t="shared" si="5"/>
        <v>5.6791215387583802E-4</v>
      </c>
      <c r="T7" s="5"/>
    </row>
    <row r="8" spans="1:20" ht="15">
      <c r="A8" s="20">
        <v>10000000</v>
      </c>
      <c r="B8" s="23">
        <v>8</v>
      </c>
      <c r="C8">
        <v>0.16312599999999999</v>
      </c>
      <c r="D8">
        <v>0.1628</v>
      </c>
      <c r="E8">
        <v>0.197961</v>
      </c>
      <c r="F8">
        <v>0.161716</v>
      </c>
      <c r="G8">
        <v>0.17211399999999999</v>
      </c>
      <c r="H8" s="25">
        <f t="shared" si="0"/>
        <v>0.17154339999999998</v>
      </c>
      <c r="I8" s="25">
        <f t="shared" si="1"/>
        <v>1.5346763756570962E-2</v>
      </c>
      <c r="J8" s="21">
        <f t="shared" si="2"/>
        <v>5.9967063728479211</v>
      </c>
      <c r="K8" s="22">
        <f t="shared" si="3"/>
        <v>0.74958829660599013</v>
      </c>
      <c r="L8" s="22">
        <f t="shared" si="4"/>
        <v>4.7723664639420252E-2</v>
      </c>
      <c r="M8" s="18"/>
      <c r="N8">
        <v>3.1397835999999999</v>
      </c>
      <c r="O8">
        <v>3.1421016000000002</v>
      </c>
      <c r="P8">
        <v>3.1411912000000002</v>
      </c>
      <c r="Q8">
        <v>3.1416339999999998</v>
      </c>
      <c r="R8">
        <v>3.1417712</v>
      </c>
      <c r="S8" s="24">
        <f t="shared" si="5"/>
        <v>5.8786928204135336E-4</v>
      </c>
      <c r="T8" s="5"/>
    </row>
    <row r="9" spans="1:20" ht="15">
      <c r="A9" s="20">
        <v>100000000</v>
      </c>
      <c r="B9" s="23">
        <v>1</v>
      </c>
      <c r="C9">
        <v>9.9817850000000004</v>
      </c>
      <c r="D9">
        <v>9.9744499999999992</v>
      </c>
      <c r="E9">
        <v>10.023294</v>
      </c>
      <c r="F9">
        <v>9.9759740000000008</v>
      </c>
      <c r="G9">
        <v>10.031034</v>
      </c>
      <c r="H9" s="25">
        <f t="shared" si="0"/>
        <v>9.9973074000000004</v>
      </c>
      <c r="I9" s="25">
        <f t="shared" si="1"/>
        <v>2.7528651071202122E-2</v>
      </c>
      <c r="J9" s="21">
        <f t="shared" si="2"/>
        <v>1</v>
      </c>
      <c r="K9" s="22">
        <f t="shared" si="3"/>
        <v>1</v>
      </c>
      <c r="L9" s="22" t="str">
        <f t="shared" si="4"/>
        <v/>
      </c>
      <c r="M9" s="18"/>
      <c r="N9">
        <v>3.1415625199999999</v>
      </c>
      <c r="O9">
        <v>3.14158312</v>
      </c>
      <c r="P9">
        <v>3.14161504</v>
      </c>
      <c r="Q9">
        <v>3.1415877600000002</v>
      </c>
      <c r="R9">
        <v>3.1416629199999999</v>
      </c>
      <c r="S9" s="24">
        <f t="shared" si="5"/>
        <v>2.7442717958603423E-5</v>
      </c>
      <c r="T9" s="5"/>
    </row>
    <row r="10" spans="1:20" ht="15">
      <c r="A10" s="20">
        <v>100000000</v>
      </c>
      <c r="B10" s="23">
        <v>2</v>
      </c>
      <c r="C10">
        <v>5.0388669999999998</v>
      </c>
      <c r="D10">
        <v>5.0070249999999996</v>
      </c>
      <c r="E10">
        <v>5.0343850000000003</v>
      </c>
      <c r="F10">
        <v>5.01288</v>
      </c>
      <c r="G10">
        <v>5.0373409999999996</v>
      </c>
      <c r="H10" s="25">
        <f t="shared" si="0"/>
        <v>5.0260995999999993</v>
      </c>
      <c r="I10" s="25">
        <f t="shared" si="1"/>
        <v>1.4971820356923918E-2</v>
      </c>
      <c r="J10" s="21">
        <f t="shared" si="2"/>
        <v>1.989078648580701</v>
      </c>
      <c r="K10" s="22">
        <f t="shared" si="3"/>
        <v>0.99453932429035052</v>
      </c>
      <c r="L10" s="22">
        <f t="shared" si="4"/>
        <v>5.4906584146845461E-3</v>
      </c>
      <c r="M10" s="18"/>
      <c r="N10">
        <v>3.1415499200000001</v>
      </c>
      <c r="O10">
        <v>3.1414485600000002</v>
      </c>
      <c r="P10">
        <v>3.1416629600000001</v>
      </c>
      <c r="Q10">
        <v>3.141737</v>
      </c>
      <c r="R10">
        <v>3.1415190399999999</v>
      </c>
      <c r="S10" s="24">
        <f t="shared" si="5"/>
        <v>9.5018717958605942E-5</v>
      </c>
      <c r="T10" s="5"/>
    </row>
    <row r="11" spans="1:20" ht="15">
      <c r="A11" s="26">
        <v>100000000</v>
      </c>
      <c r="B11" s="27">
        <v>4</v>
      </c>
      <c r="C11">
        <v>2.5435530000000002</v>
      </c>
      <c r="D11">
        <v>2.518367</v>
      </c>
      <c r="E11">
        <v>2.5414759999999998</v>
      </c>
      <c r="F11">
        <v>2.5236190000000001</v>
      </c>
      <c r="G11">
        <v>2.5493790000000001</v>
      </c>
      <c r="H11" s="25">
        <f>IF(COUNT(C11:G11)=0,"",AVERAGE(C11:G11))</f>
        <v>2.5352787999999999</v>
      </c>
      <c r="I11" s="25">
        <f t="shared" si="1"/>
        <v>1.3487431453023224E-2</v>
      </c>
      <c r="J11" s="21">
        <f t="shared" si="2"/>
        <v>3.9432773231882825</v>
      </c>
      <c r="K11" s="22">
        <f>IF(OR(J11="",B11=0),"",J11/B11)</f>
        <v>0.98581933079707063</v>
      </c>
      <c r="L11" s="22">
        <f>IF(OR(B11=1,J11=""),"",(B11/J11-1)/(B11-1))</f>
        <v>4.7948844039079246E-3</v>
      </c>
      <c r="M11" s="18"/>
      <c r="N11">
        <v>3.1414001599999999</v>
      </c>
      <c r="O11">
        <v>3.1417831199999999</v>
      </c>
      <c r="P11">
        <v>3.1415545599999999</v>
      </c>
      <c r="Q11">
        <v>3.1416934799999998</v>
      </c>
      <c r="R11">
        <v>3.1414787999999998</v>
      </c>
      <c r="S11" s="24">
        <f t="shared" si="5"/>
        <v>1.2714671795865939E-4</v>
      </c>
      <c r="T11" s="5"/>
    </row>
    <row r="12" spans="1:20" ht="15">
      <c r="A12" s="20">
        <v>100000000</v>
      </c>
      <c r="B12" s="23">
        <v>8</v>
      </c>
      <c r="C12">
        <v>1.2949889999999999</v>
      </c>
      <c r="D12">
        <v>1.3019989999999999</v>
      </c>
      <c r="E12">
        <v>1.288427</v>
      </c>
      <c r="F12">
        <v>1.2977529999999999</v>
      </c>
      <c r="G12">
        <v>1.3051980000000001</v>
      </c>
      <c r="H12" s="25">
        <f t="shared" si="0"/>
        <v>1.2976731999999997</v>
      </c>
      <c r="I12" s="25">
        <f t="shared" si="1"/>
        <v>6.4814865733101865E-3</v>
      </c>
      <c r="J12" s="21">
        <f t="shared" si="2"/>
        <v>7.7040254819164042</v>
      </c>
      <c r="K12" s="22">
        <f t="shared" si="3"/>
        <v>0.96300318523955053</v>
      </c>
      <c r="L12" s="22">
        <f t="shared" si="4"/>
        <v>5.4883092107094822E-3</v>
      </c>
      <c r="M12" s="18"/>
      <c r="N12">
        <v>3.1413817599999998</v>
      </c>
      <c r="O12">
        <v>3.14145356</v>
      </c>
      <c r="P12">
        <v>3.1417324799999999</v>
      </c>
      <c r="Q12">
        <v>3.1420110800000001</v>
      </c>
      <c r="R12">
        <v>3.14176784</v>
      </c>
      <c r="S12" s="24">
        <f t="shared" si="5"/>
        <v>2.166852820414178E-4</v>
      </c>
      <c r="T12" s="5"/>
    </row>
    <row r="13" spans="1:20" ht="15">
      <c r="A13" s="20">
        <v>1000000000</v>
      </c>
      <c r="B13" s="23">
        <v>1</v>
      </c>
      <c r="C13">
        <v>99.767283000000006</v>
      </c>
      <c r="D13">
        <v>99.764008000000004</v>
      </c>
      <c r="E13">
        <v>99.759106000000003</v>
      </c>
      <c r="F13">
        <v>99.763803999999993</v>
      </c>
      <c r="G13">
        <v>99.798698999999999</v>
      </c>
      <c r="H13" s="25">
        <f t="shared" si="0"/>
        <v>99.770579999999995</v>
      </c>
      <c r="I13" s="25">
        <f t="shared" si="1"/>
        <v>1.5986763321572384E-2</v>
      </c>
      <c r="J13" s="21">
        <f t="shared" si="2"/>
        <v>1</v>
      </c>
      <c r="K13" s="22">
        <f t="shared" si="3"/>
        <v>1</v>
      </c>
      <c r="L13" s="22" t="str">
        <f t="shared" si="4"/>
        <v/>
      </c>
      <c r="M13" s="19"/>
      <c r="N13">
        <v>3.1415822640000002</v>
      </c>
      <c r="O13">
        <v>3.141590748</v>
      </c>
      <c r="P13">
        <v>3.1415904800000001</v>
      </c>
      <c r="Q13">
        <v>3.1415856880000002</v>
      </c>
      <c r="R13">
        <v>3.141586072</v>
      </c>
      <c r="S13" s="24">
        <f t="shared" si="5"/>
        <v>5.6031897930353125E-6</v>
      </c>
      <c r="T13" s="5"/>
    </row>
    <row r="14" spans="1:20" ht="15">
      <c r="A14" s="20">
        <v>1000000000</v>
      </c>
      <c r="B14" s="23">
        <v>2</v>
      </c>
      <c r="C14">
        <v>49.931823000000001</v>
      </c>
      <c r="D14">
        <v>49.950887999999999</v>
      </c>
      <c r="E14">
        <v>49.943575000000003</v>
      </c>
      <c r="F14">
        <v>49.939619</v>
      </c>
      <c r="G14">
        <v>49.943598000000001</v>
      </c>
      <c r="H14" s="25">
        <f t="shared" si="0"/>
        <v>49.941900600000004</v>
      </c>
      <c r="I14" s="25">
        <f t="shared" si="1"/>
        <v>6.9502133276606566E-3</v>
      </c>
      <c r="J14" s="21">
        <f t="shared" si="2"/>
        <v>1.9977329417054661</v>
      </c>
      <c r="K14" s="22">
        <f t="shared" si="3"/>
        <v>0.99886647085273306</v>
      </c>
      <c r="L14" s="22">
        <f t="shared" si="4"/>
        <v>1.1348154937058652E-3</v>
      </c>
      <c r="M14" s="19"/>
      <c r="N14">
        <v>3.1415947279999998</v>
      </c>
      <c r="O14">
        <v>3.141575676</v>
      </c>
      <c r="P14">
        <v>3.1415800759999999</v>
      </c>
      <c r="Q14">
        <v>3.1415904600000002</v>
      </c>
      <c r="R14">
        <v>3.1415997999999998</v>
      </c>
      <c r="S14" s="24">
        <f t="shared" si="5"/>
        <v>8.193917958543296E-6</v>
      </c>
      <c r="T14" s="5"/>
    </row>
    <row r="15" spans="1:20" ht="15">
      <c r="A15" s="20">
        <v>1000000000</v>
      </c>
      <c r="B15" s="23">
        <v>4</v>
      </c>
      <c r="C15">
        <v>24.999984000000001</v>
      </c>
      <c r="D15">
        <v>24.990207999999999</v>
      </c>
      <c r="E15">
        <v>25.001218000000001</v>
      </c>
      <c r="F15">
        <v>25.013763999999998</v>
      </c>
      <c r="G15">
        <v>24.994814000000002</v>
      </c>
      <c r="H15" s="25">
        <f t="shared" si="0"/>
        <v>24.9999976</v>
      </c>
      <c r="I15" s="25">
        <f t="shared" si="1"/>
        <v>8.8559204377630686E-3</v>
      </c>
      <c r="J15" s="21">
        <f t="shared" si="2"/>
        <v>3.9908235831190639</v>
      </c>
      <c r="K15" s="22">
        <f t="shared" si="3"/>
        <v>0.99770589577976598</v>
      </c>
      <c r="L15" s="22">
        <f t="shared" si="4"/>
        <v>7.6645974528092664E-4</v>
      </c>
      <c r="M15" s="19"/>
      <c r="N15">
        <v>3.1415991480000001</v>
      </c>
      <c r="O15">
        <v>3.1415968400000001</v>
      </c>
      <c r="P15">
        <v>3.1416056999999999</v>
      </c>
      <c r="Q15">
        <v>3.1415862040000002</v>
      </c>
      <c r="R15">
        <v>3.1415691240000001</v>
      </c>
      <c r="S15" s="24">
        <f t="shared" si="5"/>
        <v>1.0741282041326628E-5</v>
      </c>
      <c r="T15" s="5"/>
    </row>
    <row r="16" spans="1:20" ht="15">
      <c r="A16" s="20">
        <v>1000000000</v>
      </c>
      <c r="B16" s="23">
        <v>8</v>
      </c>
      <c r="C16">
        <v>12.540768</v>
      </c>
      <c r="D16">
        <v>12.535401999999999</v>
      </c>
      <c r="E16">
        <v>12.53173</v>
      </c>
      <c r="F16">
        <v>12.538384000000001</v>
      </c>
      <c r="G16">
        <v>12.561097999999999</v>
      </c>
      <c r="H16" s="25">
        <f t="shared" si="0"/>
        <v>12.541476400000001</v>
      </c>
      <c r="I16" s="25">
        <f t="shared" si="1"/>
        <v>1.1477833018475089E-2</v>
      </c>
      <c r="J16" s="21">
        <f>IF(OR(H16="",SUMIFS($H$5:$H$16,$A$5:$A$16,A16,$B$5:$B$16,1)=0),"",SUMIFS($H$5:$H$16,$A$5:$A$16,A16,$B$5:$B$16,1)/H16)</f>
        <v>7.9552499895466848</v>
      </c>
      <c r="K16" s="22">
        <f t="shared" si="3"/>
        <v>0.9944062486933356</v>
      </c>
      <c r="L16" s="22">
        <f t="shared" si="4"/>
        <v>8.0360248195697286E-4</v>
      </c>
      <c r="M16" s="19"/>
      <c r="N16">
        <v>3.1416003799999999</v>
      </c>
      <c r="O16">
        <v>3.1416054240000002</v>
      </c>
      <c r="P16">
        <v>3.1415959920000001</v>
      </c>
      <c r="Q16">
        <v>3.1415926399999998</v>
      </c>
      <c r="R16">
        <v>3.1416047759999999</v>
      </c>
      <c r="S16" s="24">
        <f t="shared" si="5"/>
        <v>7.1942461241647493E-6</v>
      </c>
      <c r="T16" s="5"/>
    </row>
    <row r="17" spans="1:20" ht="1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 ht="1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 ht="5.25" customHeight="1">
      <c r="A19" s="5"/>
    </row>
    <row r="20" spans="1:20" ht="15">
      <c r="A20" s="5"/>
    </row>
    <row r="21" spans="1:20" ht="15">
      <c r="A21" s="5"/>
    </row>
    <row r="22" spans="1:20" ht="15">
      <c r="A22" s="5"/>
    </row>
    <row r="23" spans="1:20" ht="15">
      <c r="A23" s="5"/>
    </row>
    <row r="24" spans="1:20" ht="33.950000000000003" customHeight="1">
      <c r="A24" s="5"/>
    </row>
    <row r="25" spans="1:20" ht="1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 ht="1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 ht="1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 ht="1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 ht="1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</sheetData>
  <mergeCells count="1">
    <mergeCell ref="A1:S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33"/>
  <sheetViews>
    <sheetView workbookViewId="0">
      <selection activeCell="C16" sqref="C16:C17"/>
    </sheetView>
  </sheetViews>
  <sheetFormatPr baseColWidth="10" defaultColWidth="9" defaultRowHeight="14.25"/>
  <cols>
    <col min="1" max="1" width="22.625" customWidth="1"/>
    <col min="2" max="2" width="11" customWidth="1"/>
    <col min="3" max="7" width="12" customWidth="1"/>
    <col min="8" max="11" width="14" customWidth="1"/>
    <col min="12" max="12" width="18.125" bestFit="1" customWidth="1"/>
    <col min="13" max="13" width="28" customWidth="1"/>
    <col min="14" max="14" width="16" customWidth="1"/>
  </cols>
  <sheetData>
    <row r="1" spans="1:20" ht="21">
      <c r="A1" s="31" t="s">
        <v>29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5"/>
      <c r="P1" s="5"/>
      <c r="Q1" s="5"/>
      <c r="R1" s="5"/>
      <c r="S1" s="5"/>
      <c r="T1" s="5"/>
    </row>
    <row r="2" spans="1:20" ht="1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3" spans="1:20" ht="1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 ht="15">
      <c r="A4" s="6" t="s">
        <v>3</v>
      </c>
      <c r="B4" s="6" t="s">
        <v>7</v>
      </c>
      <c r="C4" s="6" t="s">
        <v>30</v>
      </c>
      <c r="D4" s="6" t="s">
        <v>31</v>
      </c>
      <c r="E4" s="6" t="s">
        <v>32</v>
      </c>
      <c r="F4" s="6" t="s">
        <v>33</v>
      </c>
      <c r="G4" s="6" t="s">
        <v>34</v>
      </c>
      <c r="H4" s="6" t="s">
        <v>20</v>
      </c>
      <c r="I4" s="6" t="s">
        <v>35</v>
      </c>
      <c r="J4" s="6" t="s">
        <v>0</v>
      </c>
      <c r="K4" s="6" t="s">
        <v>1</v>
      </c>
      <c r="L4" s="6" t="s">
        <v>36</v>
      </c>
      <c r="M4" s="6" t="s">
        <v>37</v>
      </c>
      <c r="N4" s="6" t="s">
        <v>38</v>
      </c>
      <c r="O4" s="5"/>
      <c r="P4" s="5"/>
      <c r="Q4" s="5"/>
      <c r="R4" s="5"/>
      <c r="S4" s="5"/>
      <c r="T4" s="5"/>
    </row>
    <row r="5" spans="1:20" ht="15">
      <c r="A5" s="7">
        <v>800</v>
      </c>
      <c r="B5" s="7">
        <v>1</v>
      </c>
      <c r="C5" s="7">
        <v>60.566949000000001</v>
      </c>
      <c r="D5" s="7">
        <v>54.724395000000001</v>
      </c>
      <c r="E5" s="7">
        <v>56.072474</v>
      </c>
      <c r="F5" s="7">
        <v>54.733103999999997</v>
      </c>
      <c r="G5" s="7">
        <v>54.658003999999998</v>
      </c>
      <c r="H5" s="8">
        <f t="shared" ref="H5:H12" si="0">IF(COUNT(C5:G5)=0,"",AVERAGE(C5:G5))</f>
        <v>56.150985200000001</v>
      </c>
      <c r="I5" s="8">
        <f t="shared" ref="I5:I8" si="1">IF(COUNT(C5:G5)&lt;2,"",_xlfn.STDEV.S(C5:G5))</f>
        <v>2.5387713490505019</v>
      </c>
      <c r="J5" s="8">
        <f>IF(OR(H5="",SUMIFS($H$5:$H$12,$A$5:$A$12,A5,$B$5:$B$12,1)=0),"",SUMIFS($H$5:$H$12,$A$5:$A$12,A5,$B$5:$B$12,1)/H5)</f>
        <v>1</v>
      </c>
      <c r="K5" s="9">
        <f t="shared" ref="K5:K12" si="2">IF(OR(J5="",B5=0),"",J5/B5)</f>
        <v>1</v>
      </c>
      <c r="L5" s="9" t="str">
        <f>IF(B5=1,"",IF(J5="","",(B5/J5-1)/(B5-1)))</f>
        <v/>
      </c>
      <c r="M5" s="7"/>
      <c r="N5" s="7"/>
      <c r="O5" s="5"/>
      <c r="P5" s="5"/>
      <c r="Q5" s="5"/>
      <c r="R5" s="5"/>
      <c r="S5" s="5"/>
      <c r="T5" s="5"/>
    </row>
    <row r="6" spans="1:20" ht="15">
      <c r="A6" s="7">
        <v>800</v>
      </c>
      <c r="B6" s="7">
        <v>2</v>
      </c>
      <c r="C6" s="7">
        <v>30.077264</v>
      </c>
      <c r="D6" s="7">
        <v>28.130727</v>
      </c>
      <c r="E6" s="7">
        <v>28.166069</v>
      </c>
      <c r="F6" s="7">
        <v>29.406047000000001</v>
      </c>
      <c r="G6" s="7">
        <v>28.844795000000001</v>
      </c>
      <c r="H6" s="8">
        <f t="shared" si="0"/>
        <v>28.924980399999999</v>
      </c>
      <c r="I6" s="8">
        <f t="shared" si="1"/>
        <v>0.83252586195553091</v>
      </c>
      <c r="J6" s="8">
        <f t="shared" ref="J6:J12" si="3">IF(OR(H6="",SUMIFS($H$5:$H$12,$A$5:$A$12,A6,$B$5:$B$12,1)=0),"",SUMIFS($H$5:$H$12,$A$5:$A$12,A6,$B$5:$B$12,1)/H6)</f>
        <v>1.9412626879429105</v>
      </c>
      <c r="K6" s="9">
        <f t="shared" si="2"/>
        <v>0.97063134397145523</v>
      </c>
      <c r="L6" s="9">
        <f>IF(B6=1,"",IF(J6="","",(B6/J6-1)/(B6-1)))</f>
        <v>3.025727142539969E-2</v>
      </c>
      <c r="M6" s="7"/>
      <c r="N6" s="7"/>
      <c r="O6" s="5"/>
      <c r="P6" s="5"/>
      <c r="Q6" s="5"/>
      <c r="R6" s="5"/>
      <c r="S6" s="5"/>
      <c r="T6" s="5"/>
    </row>
    <row r="7" spans="1:20" ht="15">
      <c r="A7" s="7">
        <v>800</v>
      </c>
      <c r="B7" s="7">
        <v>4</v>
      </c>
      <c r="C7" s="7">
        <v>16.793661</v>
      </c>
      <c r="D7" s="7">
        <v>15.671143000000001</v>
      </c>
      <c r="E7" s="7">
        <v>16.174334999999999</v>
      </c>
      <c r="F7" s="7">
        <v>16.222263999999999</v>
      </c>
      <c r="G7" s="7">
        <v>15.753771</v>
      </c>
      <c r="H7" s="8">
        <f t="shared" si="0"/>
        <v>16.123034799999999</v>
      </c>
      <c r="I7" s="8">
        <f t="shared" si="1"/>
        <v>0.44798984298664601</v>
      </c>
      <c r="J7" s="8">
        <f t="shared" si="3"/>
        <v>3.4826560815957555</v>
      </c>
      <c r="K7" s="9">
        <f t="shared" si="2"/>
        <v>0.87066402039893886</v>
      </c>
      <c r="L7" s="9">
        <f>IF(B7=1,"",IF(J7="","",(B7/J7-1)/(B7-1)))</f>
        <v>4.9516222320292659E-2</v>
      </c>
      <c r="M7" s="7"/>
      <c r="N7" s="7"/>
      <c r="O7" s="5"/>
      <c r="P7" s="5"/>
      <c r="Q7" s="5"/>
      <c r="R7" s="5"/>
      <c r="S7" s="5"/>
      <c r="T7" s="5"/>
    </row>
    <row r="8" spans="1:20" ht="15">
      <c r="A8" s="7">
        <v>800</v>
      </c>
      <c r="B8" s="7">
        <v>8</v>
      </c>
      <c r="C8" s="7">
        <v>10.969290000000001</v>
      </c>
      <c r="D8" s="7">
        <v>10.936558</v>
      </c>
      <c r="E8" s="7">
        <v>10.835241999999999</v>
      </c>
      <c r="F8" s="7">
        <v>10.960402999999999</v>
      </c>
      <c r="G8" s="7">
        <v>10.945836999999999</v>
      </c>
      <c r="H8" s="8">
        <f t="shared" si="0"/>
        <v>10.929466</v>
      </c>
      <c r="I8" s="8">
        <f t="shared" si="1"/>
        <v>5.4174526361566291E-2</v>
      </c>
      <c r="J8" s="8">
        <f t="shared" si="3"/>
        <v>5.1375781030839018</v>
      </c>
      <c r="K8" s="9">
        <f t="shared" si="2"/>
        <v>0.64219726288548773</v>
      </c>
      <c r="L8" s="9">
        <f>IF(B8=1,"",IF(J8="","",(B8/J8-1)/(B8-1)))</f>
        <v>7.9593420409452956E-2</v>
      </c>
      <c r="M8" s="7"/>
      <c r="N8" s="7"/>
      <c r="O8" s="5"/>
      <c r="P8" s="5"/>
      <c r="Q8" s="5"/>
      <c r="R8" s="5"/>
      <c r="S8" s="5"/>
      <c r="T8" s="5"/>
    </row>
    <row r="9" spans="1:20" ht="15">
      <c r="A9" s="28">
        <v>1600</v>
      </c>
      <c r="B9" s="28">
        <v>1</v>
      </c>
      <c r="C9" s="7">
        <v>952.21503900000005</v>
      </c>
      <c r="D9" s="28">
        <v>935.04853700000001</v>
      </c>
      <c r="E9" s="28">
        <v>919.64255400000002</v>
      </c>
      <c r="F9" s="28">
        <v>876.15616999999997</v>
      </c>
      <c r="G9" s="28">
        <v>889.21295399999997</v>
      </c>
      <c r="H9" s="8">
        <f t="shared" si="0"/>
        <v>914.45505079999998</v>
      </c>
      <c r="I9" s="8">
        <f>IF(COUNT(C9:G9)&lt;2,"",_xlfn.STDEV.S(C9:G9))</f>
        <v>31.546736335066921</v>
      </c>
      <c r="J9" s="8">
        <f t="shared" si="3"/>
        <v>1</v>
      </c>
      <c r="K9" s="9">
        <f t="shared" si="2"/>
        <v>1</v>
      </c>
      <c r="L9" s="9" t="str">
        <f>IF(B9=1,"",IF(J9="","",(B9/J9-1)/(B9-1)))</f>
        <v/>
      </c>
      <c r="M9" s="7"/>
      <c r="N9" s="7"/>
      <c r="O9" s="5"/>
      <c r="P9" s="5"/>
      <c r="Q9" s="5"/>
      <c r="R9" s="5"/>
      <c r="S9" s="5"/>
      <c r="T9" s="5"/>
    </row>
    <row r="10" spans="1:20" ht="15">
      <c r="A10" s="28">
        <v>1600</v>
      </c>
      <c r="B10" s="28">
        <v>2</v>
      </c>
      <c r="C10" s="28">
        <v>474.839539</v>
      </c>
      <c r="D10" s="28">
        <v>462.81791800000002</v>
      </c>
      <c r="E10" s="28">
        <v>446.48051800000002</v>
      </c>
      <c r="F10" s="28">
        <v>445.65695899999997</v>
      </c>
      <c r="G10" s="28">
        <v>445.04970400000002</v>
      </c>
      <c r="H10" s="29">
        <f t="shared" si="0"/>
        <v>454.96892760000003</v>
      </c>
      <c r="I10" s="29">
        <f>IF(COUNT(C10:G10)&lt;2,"",_xlfn.STDEV.S(C10:G10))</f>
        <v>13.356690283156393</v>
      </c>
      <c r="J10" s="8">
        <f>IF(OR(H10="",SUMIFS($H$5:$H$12,$A$5:$A$12,A10,$B$5:$B$12,1)=0),"",SUMIFS($H$5:$H$12,$A$5:$A$12,A10,$B$5:$B$12,1)/H10)</f>
        <v>2.0099285804501608</v>
      </c>
      <c r="K10" s="30">
        <f t="shared" si="2"/>
        <v>1.0049642902250804</v>
      </c>
      <c r="L10" s="9">
        <f t="shared" ref="L10:L12" si="4">IF(B10=1,"",IF(J10="","",(B10/J10-1)/(B10-1)))</f>
        <v>-4.9397677841552801E-3</v>
      </c>
      <c r="M10" s="7"/>
      <c r="N10" s="7"/>
      <c r="O10" s="5"/>
      <c r="P10" s="5"/>
      <c r="Q10" s="5"/>
      <c r="R10" s="5"/>
      <c r="S10" s="5"/>
      <c r="T10" s="5"/>
    </row>
    <row r="11" spans="1:20" ht="15">
      <c r="A11" s="28">
        <v>1600</v>
      </c>
      <c r="B11" s="28">
        <v>4</v>
      </c>
      <c r="C11" s="28">
        <v>249.02667600000001</v>
      </c>
      <c r="D11" s="28">
        <v>229.64926399999999</v>
      </c>
      <c r="E11" s="28">
        <v>229.113192</v>
      </c>
      <c r="F11" s="28">
        <v>229.27311599999999</v>
      </c>
      <c r="G11" s="28">
        <v>240.12771699999999</v>
      </c>
      <c r="H11" s="29">
        <f t="shared" si="0"/>
        <v>235.43799300000001</v>
      </c>
      <c r="I11" s="29">
        <f>IF(COUNT(C11:G11)&lt;2,"",_xlfn.STDEV.S(C11:G11))</f>
        <v>8.9185763496877186</v>
      </c>
      <c r="J11" s="8">
        <f t="shared" si="3"/>
        <v>3.8840589793848608</v>
      </c>
      <c r="K11" s="30">
        <f t="shared" si="2"/>
        <v>0.97101474484621519</v>
      </c>
      <c r="L11" s="9">
        <f t="shared" si="4"/>
        <v>9.950159633732877E-3</v>
      </c>
      <c r="M11" s="7"/>
      <c r="N11" s="7"/>
      <c r="O11" s="5"/>
      <c r="P11" s="5"/>
      <c r="Q11" s="5"/>
      <c r="R11" s="5"/>
      <c r="S11" s="5"/>
      <c r="T11" s="5"/>
    </row>
    <row r="12" spans="1:20" ht="15">
      <c r="A12" s="28">
        <v>1600</v>
      </c>
      <c r="B12" s="28">
        <v>8</v>
      </c>
      <c r="C12" s="28">
        <v>134.45083399999999</v>
      </c>
      <c r="D12" s="28">
        <v>126.26342699999999</v>
      </c>
      <c r="E12" s="28">
        <v>132.839493</v>
      </c>
      <c r="F12" s="28">
        <v>126.445849</v>
      </c>
      <c r="G12" s="28">
        <v>128.07083800000001</v>
      </c>
      <c r="H12" s="29">
        <f t="shared" si="0"/>
        <v>129.6140882</v>
      </c>
      <c r="I12" s="29">
        <f>IF(COUNT(C12:G12)&lt;2,"",_xlfn.STDEV.S(C12:G12))</f>
        <v>3.7895790446658699</v>
      </c>
      <c r="J12" s="8">
        <f t="shared" si="3"/>
        <v>7.055213391533159</v>
      </c>
      <c r="K12" s="30">
        <f t="shared" si="2"/>
        <v>0.88190167394164487</v>
      </c>
      <c r="L12" s="9">
        <f t="shared" si="4"/>
        <v>1.9130465374334049E-2</v>
      </c>
      <c r="M12" s="7"/>
      <c r="N12" s="7"/>
      <c r="O12" s="5"/>
      <c r="P12" s="5"/>
      <c r="Q12" s="5"/>
      <c r="R12" s="5"/>
      <c r="S12" s="5"/>
      <c r="T12" s="5"/>
    </row>
    <row r="13" spans="1:20" ht="1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 ht="1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 ht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0" ht="1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20" ht="1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 ht="1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 ht="1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 ht="1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 ht="1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1:20" ht="1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M22" s="5"/>
      <c r="N22" s="5"/>
      <c r="O22" s="5"/>
      <c r="P22" s="5"/>
      <c r="Q22" s="5"/>
      <c r="R22" s="5"/>
      <c r="S22" s="5"/>
      <c r="T22" s="5"/>
    </row>
    <row r="23" spans="1:20" ht="1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 ht="1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spans="1:20" ht="1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 ht="1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 ht="1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 ht="1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 ht="1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 spans="1:20" ht="1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spans="1:20" ht="1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 ht="1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1:20" ht="1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</sheetData>
  <mergeCells count="1">
    <mergeCell ref="A1:N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4"/>
  <sheetViews>
    <sheetView workbookViewId="0">
      <selection activeCell="C27" sqref="C27"/>
    </sheetView>
  </sheetViews>
  <sheetFormatPr baseColWidth="10" defaultColWidth="9" defaultRowHeight="14.25"/>
  <cols>
    <col min="1" max="1" width="20" customWidth="1"/>
    <col min="2" max="2" width="11" customWidth="1"/>
    <col min="3" max="7" width="12" customWidth="1"/>
    <col min="8" max="9" width="15" customWidth="1"/>
    <col min="10" max="10" width="15.375" customWidth="1"/>
    <col min="11" max="11" width="17.25" customWidth="1"/>
  </cols>
  <sheetData>
    <row r="1" spans="1:17" ht="21">
      <c r="A1" s="31" t="s">
        <v>39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5"/>
      <c r="M1" s="5"/>
      <c r="N1" s="5"/>
      <c r="O1" s="5"/>
      <c r="P1" s="5"/>
      <c r="Q1" s="5"/>
    </row>
    <row r="2" spans="1:17" ht="1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ht="1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ht="15">
      <c r="A4" s="6" t="s">
        <v>40</v>
      </c>
      <c r="B4" s="6" t="s">
        <v>7</v>
      </c>
      <c r="C4" s="6" t="s">
        <v>30</v>
      </c>
      <c r="D4" s="6" t="s">
        <v>31</v>
      </c>
      <c r="E4" s="6" t="s">
        <v>32</v>
      </c>
      <c r="F4" s="6" t="s">
        <v>33</v>
      </c>
      <c r="G4" s="6" t="s">
        <v>34</v>
      </c>
      <c r="H4" s="6" t="s">
        <v>20</v>
      </c>
      <c r="I4" s="6" t="s">
        <v>35</v>
      </c>
      <c r="J4" s="6" t="s">
        <v>41</v>
      </c>
      <c r="K4" s="6" t="s">
        <v>42</v>
      </c>
      <c r="L4" s="5" t="s">
        <v>44</v>
      </c>
      <c r="M4" s="5" t="s">
        <v>45</v>
      </c>
      <c r="N4" s="5" t="s">
        <v>46</v>
      </c>
      <c r="O4" s="5" t="s">
        <v>47</v>
      </c>
      <c r="P4" s="5" t="s">
        <v>48</v>
      </c>
      <c r="Q4" s="5"/>
    </row>
    <row r="5" spans="1:17" ht="15">
      <c r="A5" s="7">
        <v>100000000</v>
      </c>
      <c r="B5" s="7">
        <v>1</v>
      </c>
      <c r="C5" s="7">
        <v>9.9939990000000005</v>
      </c>
      <c r="D5" s="7">
        <v>9.982246</v>
      </c>
      <c r="E5" s="7">
        <v>9.9892020000000006</v>
      </c>
      <c r="F5" s="7">
        <v>9.9887270000000008</v>
      </c>
      <c r="G5" s="7">
        <v>9.9869509999999995</v>
      </c>
      <c r="H5" s="8">
        <f>IF(COUNT(C5:G5)=0,"",AVERAGE(C5:G5))</f>
        <v>9.9882249999999981</v>
      </c>
      <c r="I5" s="8">
        <f t="shared" ref="I5:I7" si="0">IF(COUNT(C5:G5)&lt;2,"",_xlfn.STDEV.S(C5:G5))</f>
        <v>4.2401982854581776E-3</v>
      </c>
      <c r="J5" s="9">
        <f>IF(OR(H$5="",H5=""),"",H$5/H5)</f>
        <v>1</v>
      </c>
      <c r="K5" s="10">
        <f>IF(A$5=0,"",A5/A$5)</f>
        <v>1</v>
      </c>
      <c r="L5" s="5">
        <v>3.1416409999999999</v>
      </c>
      <c r="M5" s="5">
        <v>3.1415471199999998</v>
      </c>
      <c r="N5" s="5">
        <v>3.1414929599999999</v>
      </c>
      <c r="O5" s="5">
        <v>3.1414887600000001</v>
      </c>
      <c r="P5" s="5">
        <v>3.1416010000000001</v>
      </c>
      <c r="Q5" s="5"/>
    </row>
    <row r="6" spans="1:17" ht="15">
      <c r="A6" s="7">
        <v>200000000</v>
      </c>
      <c r="B6" s="7">
        <v>2</v>
      </c>
      <c r="C6" s="7">
        <v>10.014276000000001</v>
      </c>
      <c r="D6" s="7">
        <v>10.007113</v>
      </c>
      <c r="E6" s="7">
        <v>9.9940680000000004</v>
      </c>
      <c r="F6" s="7">
        <v>10.00169</v>
      </c>
      <c r="G6" s="7">
        <v>9.9950939999999999</v>
      </c>
      <c r="H6" s="8">
        <f>IF(COUNT(C6:G6)=0,"",AVERAGE(C6:G6))</f>
        <v>10.0024482</v>
      </c>
      <c r="I6" s="8">
        <f t="shared" si="0"/>
        <v>8.4638066022330143E-3</v>
      </c>
      <c r="J6" s="9">
        <f>IF(OR(H$5="",H6=""),"",H$5/H6)</f>
        <v>0.99857802812715368</v>
      </c>
      <c r="K6" s="10">
        <f>IF(A$5=0,"",A6/A$5)</f>
        <v>2</v>
      </c>
      <c r="L6" s="5">
        <v>3.1415518599999999</v>
      </c>
      <c r="M6" s="5">
        <v>3.14158246</v>
      </c>
      <c r="N6" s="5">
        <v>3.14159414</v>
      </c>
      <c r="O6" s="5">
        <v>3.1416418400000001</v>
      </c>
      <c r="P6" s="5">
        <v>3.1415929999999999</v>
      </c>
      <c r="Q6" s="5"/>
    </row>
    <row r="7" spans="1:17" ht="15">
      <c r="A7" s="7">
        <v>400000000</v>
      </c>
      <c r="B7" s="7">
        <v>4</v>
      </c>
      <c r="C7" s="7">
        <v>10.029384</v>
      </c>
      <c r="D7" s="7">
        <v>10.014989999999999</v>
      </c>
      <c r="E7" s="7">
        <v>10.012358000000001</v>
      </c>
      <c r="F7" s="7">
        <v>10.011030999999999</v>
      </c>
      <c r="G7" s="7">
        <v>10.016247</v>
      </c>
      <c r="H7" s="8">
        <f>IF(COUNT(C7:G7)=0,"",AVERAGE(C7:G7))</f>
        <v>10.016802</v>
      </c>
      <c r="I7" s="8">
        <f t="shared" si="0"/>
        <v>7.3306150833339695E-3</v>
      </c>
      <c r="J7" s="9">
        <f>IF(OR(H$5="",H7=""),"",H$5/H7)</f>
        <v>0.9971470934535791</v>
      </c>
      <c r="K7" s="10">
        <f>IF(A$5=0,"",A7/A$5)</f>
        <v>4</v>
      </c>
      <c r="L7" s="5">
        <v>3.1416138</v>
      </c>
      <c r="M7" s="5">
        <v>3.1415943300000002</v>
      </c>
      <c r="N7" s="5">
        <v>3.14155601</v>
      </c>
      <c r="O7" s="5">
        <v>3.14157105</v>
      </c>
      <c r="P7" s="5">
        <v>3.1415868200000001</v>
      </c>
      <c r="Q7" s="5"/>
    </row>
    <row r="8" spans="1:17" ht="15">
      <c r="A8" s="7">
        <v>800000000</v>
      </c>
      <c r="B8" s="7">
        <v>8</v>
      </c>
      <c r="C8" s="7">
        <v>10.461662</v>
      </c>
      <c r="D8" s="7">
        <v>10.077635000000001</v>
      </c>
      <c r="E8" s="7">
        <v>10.429721000000001</v>
      </c>
      <c r="F8" s="7">
        <v>10.409482000000001</v>
      </c>
      <c r="G8" s="7">
        <v>10.224361999999999</v>
      </c>
      <c r="H8" s="8">
        <f>IF(COUNT(C8:G8)=0,"",AVERAGE(C8:G8))</f>
        <v>10.3205724</v>
      </c>
      <c r="I8" s="8">
        <f>IF(COUNT(C8:G8)&lt;2,"",_xlfn.STDEV.S(C8:G8))</f>
        <v>0.16431648613970551</v>
      </c>
      <c r="J8" s="9">
        <f>IF(OR(H$5="",H8=""),"",H$5/H8)</f>
        <v>0.96779758068457511</v>
      </c>
      <c r="K8" s="10">
        <f>IF(A$5=0,"",A8/A$5)</f>
        <v>8</v>
      </c>
      <c r="L8" s="5">
        <v>3.1416020599999999</v>
      </c>
      <c r="M8" s="5">
        <v>3.1415796899999999</v>
      </c>
      <c r="N8" s="5">
        <v>3.1415887300000001</v>
      </c>
      <c r="O8" s="5">
        <v>3.1415676100000001</v>
      </c>
      <c r="P8" s="5">
        <v>3.14157742</v>
      </c>
      <c r="Q8" s="5"/>
    </row>
    <row r="9" spans="1:17" ht="1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</row>
    <row r="10" spans="1:17" ht="1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17" ht="1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</row>
    <row r="12" spans="1:17" ht="1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1:17" ht="1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</row>
    <row r="14" spans="1:17" ht="1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</row>
    <row r="15" spans="1:17" ht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</row>
    <row r="16" spans="1:17" ht="1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</row>
    <row r="17" spans="1:17" ht="1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</row>
    <row r="18" spans="1:17" ht="1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</row>
    <row r="19" spans="1:17" ht="1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</row>
    <row r="20" spans="1:17" ht="1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</row>
    <row r="21" spans="1:17" ht="1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</row>
    <row r="22" spans="1:17" ht="1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</row>
    <row r="23" spans="1:17" ht="1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</row>
    <row r="24" spans="1:17" ht="1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</row>
  </sheetData>
  <mergeCells count="1">
    <mergeCell ref="A1:K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24"/>
  <sheetViews>
    <sheetView workbookViewId="0">
      <selection activeCell="C15" sqref="C15"/>
    </sheetView>
  </sheetViews>
  <sheetFormatPr baseColWidth="10" defaultColWidth="9" defaultRowHeight="14.25"/>
  <cols>
    <col min="1" max="1" width="20" customWidth="1"/>
    <col min="2" max="2" width="11" customWidth="1"/>
    <col min="3" max="7" width="12" customWidth="1"/>
    <col min="8" max="9" width="15" customWidth="1"/>
    <col min="10" max="10" width="15.375" customWidth="1"/>
    <col min="11" max="11" width="17.25" customWidth="1"/>
    <col min="12" max="12" width="17.625" bestFit="1" customWidth="1"/>
    <col min="13" max="13" width="28" customWidth="1"/>
    <col min="14" max="14" width="16" customWidth="1"/>
  </cols>
  <sheetData>
    <row r="1" spans="1:20" ht="21">
      <c r="A1" s="31" t="s">
        <v>49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5"/>
      <c r="P1" s="5"/>
      <c r="Q1" s="5"/>
      <c r="R1" s="5"/>
      <c r="S1" s="5"/>
      <c r="T1" s="5"/>
    </row>
    <row r="2" spans="1:20" ht="1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3" spans="1:20" ht="1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 ht="15">
      <c r="A4" s="6" t="s">
        <v>3</v>
      </c>
      <c r="B4" s="6" t="s">
        <v>7</v>
      </c>
      <c r="C4" s="6" t="s">
        <v>30</v>
      </c>
      <c r="D4" s="6" t="s">
        <v>31</v>
      </c>
      <c r="E4" s="6" t="s">
        <v>32</v>
      </c>
      <c r="F4" s="6" t="s">
        <v>33</v>
      </c>
      <c r="G4" s="6" t="s">
        <v>34</v>
      </c>
      <c r="H4" s="6" t="s">
        <v>20</v>
      </c>
      <c r="I4" s="6" t="s">
        <v>35</v>
      </c>
      <c r="J4" s="6" t="s">
        <v>41</v>
      </c>
      <c r="K4" s="6" t="s">
        <v>42</v>
      </c>
      <c r="L4" s="6" t="s">
        <v>43</v>
      </c>
      <c r="M4" s="6" t="s">
        <v>37</v>
      </c>
      <c r="N4" s="6" t="s">
        <v>38</v>
      </c>
      <c r="O4" s="5"/>
      <c r="P4" s="5"/>
      <c r="Q4" s="5"/>
      <c r="R4" s="5"/>
      <c r="S4" s="5"/>
      <c r="T4" s="5"/>
    </row>
    <row r="5" spans="1:20" ht="15">
      <c r="A5" s="7">
        <v>800</v>
      </c>
      <c r="B5" s="7">
        <v>1</v>
      </c>
      <c r="C5" s="7">
        <v>58.699133000000003</v>
      </c>
      <c r="D5" s="7">
        <v>58.341796000000002</v>
      </c>
      <c r="E5" s="7">
        <v>55.969783999999997</v>
      </c>
      <c r="F5" s="7">
        <v>58.112544999999997</v>
      </c>
      <c r="G5" s="7">
        <v>57.439798000000003</v>
      </c>
      <c r="H5" s="8">
        <f>IF(COUNT(C5:G5)=0,"",AVERAGE(C5:G5))</f>
        <v>57.712611200000005</v>
      </c>
      <c r="I5" s="8">
        <f t="shared" ref="I5:I8" si="0">IF(COUNT(C5:G5)&lt;2,"",_xlfn.STDEV.S(C5:G5))</f>
        <v>1.0771396740862829</v>
      </c>
      <c r="J5" s="9">
        <f>IF(OR(H$5="",H5=""),"",H$5/H5)</f>
        <v>1</v>
      </c>
      <c r="K5" s="10">
        <f t="shared" ref="K5:K8" si="1">(A5/$A$5)^3</f>
        <v>1</v>
      </c>
      <c r="L5" s="10" t="str">
        <f>IF(Matrix_Amdahl!B17="","",B5-Matrix_Amdahl!B17*(B5-1))</f>
        <v/>
      </c>
      <c r="M5" s="7"/>
      <c r="N5" s="7">
        <v>800</v>
      </c>
      <c r="O5" s="5"/>
      <c r="P5" s="5"/>
      <c r="Q5" s="5"/>
      <c r="R5" s="5"/>
      <c r="S5" s="5"/>
      <c r="T5" s="5"/>
    </row>
    <row r="6" spans="1:20" ht="15">
      <c r="A6" s="7">
        <v>1008</v>
      </c>
      <c r="B6" s="7">
        <v>2</v>
      </c>
      <c r="C6" s="7">
        <v>114.71397899999999</v>
      </c>
      <c r="D6" s="7">
        <v>120.75773700000001</v>
      </c>
      <c r="E6" s="7">
        <v>114.709592</v>
      </c>
      <c r="F6" s="7">
        <v>117.457571</v>
      </c>
      <c r="G6" s="7">
        <v>116.644668</v>
      </c>
      <c r="H6" s="8">
        <f>IF(COUNT(C6:G6)=0,"",AVERAGE(C6:G6))</f>
        <v>116.8567094</v>
      </c>
      <c r="I6" s="8">
        <f t="shared" si="0"/>
        <v>2.491255669842884</v>
      </c>
      <c r="J6" s="9">
        <f>IF(OR(H$5="",H6=""),"",H$5/H6)</f>
        <v>0.49387503290418688</v>
      </c>
      <c r="K6" s="10">
        <f t="shared" si="1"/>
        <v>2.0003760000000002</v>
      </c>
      <c r="L6" s="10" t="str">
        <f>IF(Matrix_Amdahl!B17="","",B6-Matrix_Amdahl!B17*(B6-1))</f>
        <v/>
      </c>
      <c r="M6" s="7"/>
      <c r="N6" s="7">
        <v>1008</v>
      </c>
      <c r="O6" s="5"/>
      <c r="P6" s="5"/>
      <c r="Q6" s="5"/>
      <c r="R6" s="5"/>
      <c r="S6" s="5"/>
      <c r="T6" s="5"/>
    </row>
    <row r="7" spans="1:20" ht="15">
      <c r="A7" s="7">
        <v>1272</v>
      </c>
      <c r="B7" s="7">
        <v>4</v>
      </c>
      <c r="C7" s="7">
        <v>123.995268</v>
      </c>
      <c r="D7" s="7">
        <v>120.25082999999999</v>
      </c>
      <c r="E7" s="7">
        <v>120.594937</v>
      </c>
      <c r="F7" s="7">
        <v>121.03914</v>
      </c>
      <c r="G7" s="7">
        <v>121.454989</v>
      </c>
      <c r="H7" s="8">
        <f>IF(COUNT(C7:G7)=0,"",AVERAGE(C7:G7))</f>
        <v>121.4670328</v>
      </c>
      <c r="I7" s="8">
        <f t="shared" si="0"/>
        <v>1.4844957782892807</v>
      </c>
      <c r="J7" s="9">
        <f>IF(OR(H$5="",H7=""),"",H$5/H7)</f>
        <v>0.47512983457022429</v>
      </c>
      <c r="K7" s="10">
        <f t="shared" si="1"/>
        <v>4.0196790000000009</v>
      </c>
      <c r="L7" s="10" t="str">
        <f>IF(Matrix_Amdahl!B17="","",B7-Matrix_Amdahl!B17*(B7-1))</f>
        <v/>
      </c>
      <c r="M7" s="7"/>
      <c r="N7" s="7">
        <v>1272</v>
      </c>
      <c r="O7" s="5"/>
      <c r="P7" s="5"/>
      <c r="Q7" s="5"/>
      <c r="R7" s="5"/>
      <c r="S7" s="5"/>
      <c r="T7" s="5"/>
    </row>
    <row r="8" spans="1:20" ht="15">
      <c r="A8" s="7">
        <v>1600</v>
      </c>
      <c r="B8" s="7">
        <v>8</v>
      </c>
      <c r="C8" s="7">
        <v>134.84276199999999</v>
      </c>
      <c r="D8" s="7">
        <v>130.78872100000001</v>
      </c>
      <c r="E8" s="7">
        <v>126.047251</v>
      </c>
      <c r="F8" s="7">
        <v>131.76541499999999</v>
      </c>
      <c r="G8" s="7">
        <v>133.211275</v>
      </c>
      <c r="H8" s="8">
        <f>IF(COUNT(C8:G8)=0,"",AVERAGE(C8:G8))</f>
        <v>131.33108480000001</v>
      </c>
      <c r="I8" s="8">
        <f t="shared" si="0"/>
        <v>3.3267361176301882</v>
      </c>
      <c r="J8" s="9">
        <f>IF(OR(H$5="",H8=""),"",H$5/H8)</f>
        <v>0.43944364952051318</v>
      </c>
      <c r="K8" s="10">
        <f t="shared" si="1"/>
        <v>8</v>
      </c>
      <c r="L8" s="10" t="str">
        <f>IF(Matrix_Amdahl!B17="","",B8-Matrix_Amdahl!B17*(B8-1))</f>
        <v/>
      </c>
      <c r="M8" s="7"/>
      <c r="N8" s="7">
        <v>1600</v>
      </c>
      <c r="O8" s="5"/>
      <c r="P8" s="5"/>
      <c r="Q8" s="5"/>
      <c r="R8" s="5"/>
      <c r="S8" s="5"/>
      <c r="T8" s="5"/>
    </row>
    <row r="9" spans="1:20" ht="1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 ht="1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spans="1:20" ht="1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 ht="1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 ht="1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 ht="1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 ht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0" ht="1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20" ht="1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 ht="1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 ht="1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 ht="1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 ht="1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1:20" ht="1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 ht="1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 ht="1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</sheetData>
  <mergeCells count="1">
    <mergeCell ref="A1:N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HPL</vt:lpstr>
      <vt:lpstr>MC_Amdahl</vt:lpstr>
      <vt:lpstr>Matrix_Amdahl</vt:lpstr>
      <vt:lpstr>MC_Gustafson</vt:lpstr>
      <vt:lpstr>Matrix_Gustafson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Scheidler Aguilar, Christopher</cp:lastModifiedBy>
  <dcterms:modified xsi:type="dcterms:W3CDTF">2026-08-26T09:40:28Z</dcterms:modified>
</cp:coreProperties>
</file>